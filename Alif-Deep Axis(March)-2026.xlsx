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esktop\HOUSES\"/>
    </mc:Choice>
  </mc:AlternateContent>
  <xr:revisionPtr revIDLastSave="0" documentId="13_ncr:1_{30F7F83B-4DAE-4BCE-A829-072CF6B22538}" xr6:coauthVersionLast="47" xr6:coauthVersionMax="47" xr10:uidLastSave="{00000000-0000-0000-0000-000000000000}"/>
  <bookViews>
    <workbookView xWindow="-120" yWindow="-120" windowWidth="29040" windowHeight="15720" tabRatio="546" activeTab="3" xr2:uid="{00000000-000D-0000-FFFF-FFFF00000000}"/>
  </bookViews>
  <sheets>
    <sheet name="Final Report" sheetId="1" r:id="rId1"/>
    <sheet name="Total Meal Number" sheetId="2" r:id="rId2"/>
    <sheet name="Bazar Cost" sheetId="3" r:id="rId3"/>
    <sheet name="house rent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qD5KaVS7jF3szO+7Z85Rsu4sxtW+j59UqwERNKv8Pks="/>
    </ext>
  </extLst>
</workbook>
</file>

<file path=xl/calcChain.xml><?xml version="1.0" encoding="utf-8"?>
<calcChain xmlns="http://schemas.openxmlformats.org/spreadsheetml/2006/main">
  <c r="M33" i="4" l="1"/>
  <c r="O33" i="4" s="1"/>
  <c r="J33" i="4"/>
  <c r="J41" i="4"/>
  <c r="H7" i="4"/>
  <c r="C7" i="4"/>
  <c r="B7" i="4"/>
  <c r="F27" i="1"/>
  <c r="C27" i="1"/>
  <c r="J26" i="1"/>
  <c r="K19" i="1" s="1"/>
  <c r="AH5" i="2"/>
  <c r="I7" i="4"/>
  <c r="G7" i="4"/>
  <c r="F7" i="4"/>
  <c r="E7" i="4"/>
  <c r="D7" i="4"/>
  <c r="J12" i="1"/>
  <c r="K11" i="1" s="1"/>
  <c r="F3" i="5"/>
  <c r="F4" i="5"/>
  <c r="F5" i="5"/>
  <c r="F6" i="5"/>
  <c r="F7" i="5"/>
  <c r="F8" i="5"/>
  <c r="F2" i="5"/>
  <c r="AH12" i="2"/>
  <c r="N48" i="4"/>
  <c r="F13" i="1"/>
  <c r="C13" i="1"/>
  <c r="AH11" i="3"/>
  <c r="B11" i="2"/>
  <c r="B6" i="2"/>
  <c r="J45" i="4"/>
  <c r="M45" i="4" s="1"/>
  <c r="O45" i="4" s="1"/>
  <c r="J46" i="4"/>
  <c r="M46" i="4" s="1"/>
  <c r="O46" i="4" s="1"/>
  <c r="K48" i="4"/>
  <c r="K9" i="4"/>
  <c r="J44" i="4"/>
  <c r="C14" i="3"/>
  <c r="D23" i="1" l="1"/>
  <c r="E23" i="1" s="1"/>
  <c r="G23" i="1" s="1"/>
  <c r="H23" i="1" s="1"/>
  <c r="D21" i="1"/>
  <c r="E21" i="1" s="1"/>
  <c r="G21" i="1" s="1"/>
  <c r="H21" i="1" s="1"/>
  <c r="L21" i="1" s="1"/>
  <c r="D19" i="1"/>
  <c r="E19" i="1" s="1"/>
  <c r="G19" i="1" s="1"/>
  <c r="H19" i="1" s="1"/>
  <c r="D24" i="1"/>
  <c r="E24" i="1" s="1"/>
  <c r="G24" i="1" s="1"/>
  <c r="H24" i="1" s="1"/>
  <c r="D25" i="1"/>
  <c r="E25" i="1" s="1"/>
  <c r="G25" i="1" s="1"/>
  <c r="H25" i="1" s="1"/>
  <c r="D18" i="1"/>
  <c r="E18" i="1" s="1"/>
  <c r="D26" i="1"/>
  <c r="E26" i="1" s="1"/>
  <c r="G26" i="1" s="1"/>
  <c r="D20" i="1"/>
  <c r="E20" i="1" s="1"/>
  <c r="G20" i="1" s="1"/>
  <c r="H20" i="1" s="1"/>
  <c r="D22" i="1"/>
  <c r="E22" i="1" s="1"/>
  <c r="G22" i="1" s="1"/>
  <c r="H22" i="1" s="1"/>
  <c r="G18" i="1"/>
  <c r="E27" i="1"/>
  <c r="L19" i="1"/>
  <c r="AH19" i="1" s="1"/>
  <c r="K22" i="1"/>
  <c r="K24" i="1"/>
  <c r="K18" i="1"/>
  <c r="K20" i="1"/>
  <c r="K23" i="1"/>
  <c r="L23" i="1" s="1"/>
  <c r="K25" i="1"/>
  <c r="L25" i="1" s="1"/>
  <c r="D8" i="1"/>
  <c r="E8" i="1" s="1"/>
  <c r="G8" i="1" s="1"/>
  <c r="H8" i="1" s="1"/>
  <c r="K10" i="1"/>
  <c r="K5" i="1"/>
  <c r="K6" i="1"/>
  <c r="K4" i="1"/>
  <c r="K8" i="1"/>
  <c r="K9" i="1"/>
  <c r="D6" i="1"/>
  <c r="E6" i="1" s="1"/>
  <c r="G6" i="1" s="1"/>
  <c r="H6" i="1" s="1"/>
  <c r="D10" i="1"/>
  <c r="E10" i="1" s="1"/>
  <c r="G10" i="1" s="1"/>
  <c r="H10" i="1" s="1"/>
  <c r="D11" i="1"/>
  <c r="E11" i="1" s="1"/>
  <c r="G11" i="1" s="1"/>
  <c r="H11" i="1" s="1"/>
  <c r="L11" i="1" s="1"/>
  <c r="D4" i="1"/>
  <c r="D5" i="1"/>
  <c r="E5" i="1" s="1"/>
  <c r="G5" i="1" s="1"/>
  <c r="H5" i="1" s="1"/>
  <c r="L5" i="1" s="1"/>
  <c r="D7" i="1"/>
  <c r="E7" i="1" s="1"/>
  <c r="G7" i="1" s="1"/>
  <c r="H7" i="1" s="1"/>
  <c r="L7" i="1" s="1"/>
  <c r="D9" i="1"/>
  <c r="E9" i="1" s="1"/>
  <c r="G9" i="1" s="1"/>
  <c r="H9" i="1" s="1"/>
  <c r="L9" i="1" s="1"/>
  <c r="D12" i="1"/>
  <c r="E12" i="1" s="1"/>
  <c r="G12" i="1" s="1"/>
  <c r="AH26" i="3"/>
  <c r="AH23" i="3"/>
  <c r="AH24" i="3"/>
  <c r="AH25" i="3"/>
  <c r="AH27" i="3"/>
  <c r="AH28" i="3"/>
  <c r="AH29" i="3"/>
  <c r="AH30" i="3"/>
  <c r="AH22" i="3"/>
  <c r="M44" i="4"/>
  <c r="J47" i="4"/>
  <c r="M47" i="4" s="1"/>
  <c r="O47" i="4" s="1"/>
  <c r="AH10" i="3"/>
  <c r="AH9" i="3"/>
  <c r="AH11" i="2"/>
  <c r="L10" i="1" l="1"/>
  <c r="L6" i="1"/>
  <c r="D27" i="1"/>
  <c r="L20" i="1"/>
  <c r="L24" i="1"/>
  <c r="L22" i="1"/>
  <c r="K26" i="1"/>
  <c r="G27" i="1"/>
  <c r="H18" i="1"/>
  <c r="H26" i="1" s="1"/>
  <c r="K12" i="1"/>
  <c r="L8" i="1"/>
  <c r="E4" i="1"/>
  <c r="D13" i="1"/>
  <c r="AH5" i="3"/>
  <c r="AH6" i="3"/>
  <c r="AH7" i="3"/>
  <c r="AH8" i="3"/>
  <c r="L18" i="1" l="1"/>
  <c r="L26" i="1" s="1"/>
  <c r="G4" i="1"/>
  <c r="G13" i="1" s="1"/>
  <c r="E13" i="1"/>
  <c r="J42" i="4"/>
  <c r="M42" i="4" s="1"/>
  <c r="J43" i="4"/>
  <c r="M43" i="4" s="1"/>
  <c r="O43" i="4" s="1"/>
  <c r="O44" i="4"/>
  <c r="K11" i="4"/>
  <c r="AH8" i="2"/>
  <c r="AH9" i="2"/>
  <c r="K6" i="4"/>
  <c r="H4" i="1" l="1"/>
  <c r="H12" i="1" s="1"/>
  <c r="J48" i="4"/>
  <c r="O42" i="4"/>
  <c r="L4" i="1" l="1"/>
  <c r="L12" i="1" s="1"/>
  <c r="AH7" i="2"/>
  <c r="A7" i="4"/>
  <c r="AH6" i="2"/>
  <c r="AH10" i="2"/>
  <c r="AH13" i="2"/>
  <c r="T14" i="3"/>
  <c r="D66" i="4"/>
  <c r="E66" i="4"/>
  <c r="C66" i="4"/>
  <c r="G64" i="4"/>
  <c r="G63" i="4"/>
  <c r="G62" i="4"/>
  <c r="G61" i="4"/>
  <c r="J7" i="4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E14" i="3"/>
  <c r="D14" i="3"/>
  <c r="AH13" i="3"/>
  <c r="B13" i="3"/>
  <c r="AH12" i="3"/>
  <c r="AH14" i="3" s="1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5" i="2"/>
  <c r="K7" i="4" l="1"/>
  <c r="AH31" i="3"/>
  <c r="G66" i="4"/>
  <c r="AH14" i="2"/>
  <c r="F14" i="3" l="1"/>
  <c r="AH5" i="1" l="1"/>
  <c r="M41" i="4"/>
  <c r="M48" i="4" l="1"/>
  <c r="O41" i="4"/>
  <c r="O48" i="4" s="1"/>
</calcChain>
</file>

<file path=xl/sharedStrings.xml><?xml version="1.0" encoding="utf-8"?>
<sst xmlns="http://schemas.openxmlformats.org/spreadsheetml/2006/main" count="201" uniqueCount="91">
  <si>
    <t>Name of the member</t>
  </si>
  <si>
    <t>Total Meal No</t>
  </si>
  <si>
    <t>Per Meal Rate</t>
  </si>
  <si>
    <t>Total Meal Cost</t>
  </si>
  <si>
    <t>Total Bazar Cost</t>
  </si>
  <si>
    <t>Given/Take (TK)</t>
  </si>
  <si>
    <t>Bazar OTHERS Cost thers(TK)</t>
  </si>
  <si>
    <t>alif</t>
  </si>
  <si>
    <t>rifat</t>
  </si>
  <si>
    <t>Grand Total</t>
  </si>
  <si>
    <t>Meal Number by Mess Member</t>
  </si>
  <si>
    <t>Bazar Cost(TK)</t>
  </si>
  <si>
    <t>Rifat</t>
  </si>
  <si>
    <t>ruhan</t>
  </si>
  <si>
    <t>dust</t>
  </si>
  <si>
    <t>water</t>
  </si>
  <si>
    <t>service charge</t>
  </si>
  <si>
    <t>electricity(apprx)</t>
  </si>
  <si>
    <t>internet</t>
  </si>
  <si>
    <t xml:space="preserve">total service CHARGE </t>
  </si>
  <si>
    <t>ranna bua</t>
  </si>
  <si>
    <t>house cleaner</t>
  </si>
  <si>
    <t>name</t>
  </si>
  <si>
    <t>house rent</t>
  </si>
  <si>
    <t>Bua single person</t>
  </si>
  <si>
    <t>utility + bua</t>
  </si>
  <si>
    <t>total</t>
  </si>
  <si>
    <t>Date</t>
  </si>
  <si>
    <t>rupom</t>
  </si>
  <si>
    <t>RENT</t>
  </si>
  <si>
    <t>Service charge</t>
  </si>
  <si>
    <t>cylinder</t>
  </si>
  <si>
    <t xml:space="preserve">ranna bua </t>
  </si>
  <si>
    <t xml:space="preserve">House cleaner </t>
  </si>
  <si>
    <t>Electricity(current month)</t>
  </si>
  <si>
    <t>service paid-</t>
  </si>
  <si>
    <t>rupom fridge-2000tk +utility -1500tk paid</t>
  </si>
  <si>
    <t>Yet to paid</t>
  </si>
  <si>
    <t>owner</t>
  </si>
  <si>
    <t>Alif</t>
  </si>
  <si>
    <t>Paid</t>
  </si>
  <si>
    <t>yet to paid</t>
  </si>
  <si>
    <t>spend</t>
  </si>
  <si>
    <t>divided</t>
  </si>
  <si>
    <t>Meal Given/Take (TK)</t>
  </si>
  <si>
    <t>paid/unpaid</t>
  </si>
  <si>
    <t>Advance paid</t>
  </si>
  <si>
    <t>abid</t>
  </si>
  <si>
    <t>abid vai paid 1800 tk for the advance only in january and started staying at february</t>
  </si>
  <si>
    <t xml:space="preserve">Who provided money on which day of the month, and how was it spent?  </t>
  </si>
  <si>
    <t>member</t>
  </si>
  <si>
    <t>Ruhan- advance=3500</t>
  </si>
  <si>
    <t>Rupom- advance=6500</t>
  </si>
  <si>
    <t>Abid-advance=1800</t>
  </si>
  <si>
    <t xml:space="preserve">                          </t>
  </si>
  <si>
    <t>Shabab &amp; anik advance =7000 + utility 1500 + fridge 2000</t>
  </si>
  <si>
    <t xml:space="preserve"> </t>
  </si>
  <si>
    <t xml:space="preserve"> paid /unpaid</t>
  </si>
  <si>
    <t>electricity(1400)</t>
  </si>
  <si>
    <t xml:space="preserve">                                                                                          </t>
  </si>
  <si>
    <t>Rabby</t>
  </si>
  <si>
    <t>labib paid 2000 for fridge(1400tk refundable) and 750 for utility</t>
  </si>
  <si>
    <t>Jubayer</t>
  </si>
  <si>
    <t>Sadman</t>
  </si>
  <si>
    <t>Rafid paid advance for july1 @(29/5/25) =1500 || utility 1500 due</t>
  </si>
  <si>
    <t>Jubayer and sadman paid advance for june(25) 7000 &amp; 1000 paid to ruhan as utility || due 1500 utility</t>
  </si>
  <si>
    <t>Rafid</t>
  </si>
  <si>
    <t>JUBAYER</t>
  </si>
  <si>
    <t>SADMAN</t>
  </si>
  <si>
    <t>RIFAT</t>
  </si>
  <si>
    <t>RABBI</t>
  </si>
  <si>
    <t>RAFID</t>
  </si>
  <si>
    <t>ALIF</t>
  </si>
  <si>
    <t>Likhon</t>
  </si>
  <si>
    <t>electricity</t>
  </si>
  <si>
    <t>LIKHON</t>
  </si>
  <si>
    <t>SEPTEMBER</t>
  </si>
  <si>
    <t>OCTOBER</t>
  </si>
  <si>
    <t>NOVEMBER</t>
  </si>
  <si>
    <t>DECEMBER</t>
  </si>
  <si>
    <t>TOTAL</t>
  </si>
  <si>
    <t>December 2025</t>
  </si>
  <si>
    <t>Others cost December</t>
  </si>
  <si>
    <t>paid</t>
  </si>
  <si>
    <t>1000-paid</t>
  </si>
  <si>
    <t>500-paid</t>
  </si>
  <si>
    <t>January 2025</t>
  </si>
  <si>
    <t>Others cost January</t>
  </si>
  <si>
    <t>February 2026</t>
  </si>
  <si>
    <t>FEBRUARY 2026</t>
  </si>
  <si>
    <t>1000 tk fo bike-unpaid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</si>
</sst>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mm\ yyyy"/>
    <numFmt numFmtId="165" formatCode="0.00\ &quot;পাওনা&quot;;\-0.00\ &quot;বকেয়া&quot;"/>
    <numFmt numFmtId="166" formatCode="m\-d\-yyyy"/>
    <numFmt numFmtId="167" formatCode="[Green]&quot;paid&quot;;[Red]&quot;unpaid&quot;;"/>
  </numFmts>
  <fonts count="6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A61C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A61C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sz val="14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7F7F7F"/>
      <name val="Calibri"/>
      <family val="2"/>
      <scheme val="minor"/>
    </font>
    <font>
      <b/>
      <sz val="8"/>
      <color rgb="FFA61C00"/>
      <name val="Calibri"/>
      <family val="2"/>
      <scheme val="minor"/>
    </font>
    <font>
      <b/>
      <sz val="10"/>
      <color theme="1"/>
      <name val="Calibri"/>
      <family val="2"/>
    </font>
    <font>
      <sz val="21"/>
      <color theme="1"/>
      <name val="Calibri"/>
      <family val="2"/>
      <scheme val="minor"/>
    </font>
    <font>
      <b/>
      <sz val="26"/>
      <color rgb="FF3F3F76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26"/>
      <color theme="1"/>
      <name val="Calibri"/>
      <family val="2"/>
    </font>
    <font>
      <b/>
      <sz val="26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99FF"/>
        <bgColor rgb="FFCC99FF"/>
      </patternFill>
    </fill>
    <fill>
      <patternFill patternType="solid">
        <fgColor rgb="FFDBE5F1"/>
        <bgColor rgb="FFDBE5F1"/>
      </patternFill>
    </fill>
    <fill>
      <patternFill patternType="solid">
        <fgColor rgb="FFBFBFBF"/>
        <bgColor rgb="FFBFBFBF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B7E1CD"/>
        <bgColor rgb="FFB7E1CD"/>
      </patternFill>
    </fill>
    <fill>
      <patternFill patternType="solid">
        <fgColor rgb="FFE06666"/>
        <bgColor rgb="FFE06666"/>
      </patternFill>
    </fill>
    <fill>
      <patternFill patternType="solid">
        <fgColor rgb="FF4C1130"/>
        <bgColor rgb="FF4C1130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000000"/>
      </top>
      <bottom style="thin">
        <color rgb="FF3F3F3F"/>
      </bottom>
      <diagonal/>
    </border>
    <border>
      <left/>
      <right style="thin">
        <color rgb="FF3F3F3F"/>
      </right>
      <top style="thin">
        <color rgb="FF000000"/>
      </top>
      <bottom style="thin">
        <color rgb="FF3F3F3F"/>
      </bottom>
      <diagonal/>
    </border>
  </borders>
  <cellStyleXfs count="24">
    <xf numFmtId="0" fontId="0" fillId="0" borderId="0"/>
    <xf numFmtId="0" fontId="24" fillId="18" borderId="0" applyNumberFormat="0" applyBorder="0" applyAlignment="0" applyProtection="0"/>
    <xf numFmtId="0" fontId="48" fillId="19" borderId="21" applyNumberFormat="0" applyAlignment="0" applyProtection="0"/>
    <xf numFmtId="0" fontId="49" fillId="20" borderId="22" applyNumberFormat="0" applyAlignment="0" applyProtection="0"/>
    <xf numFmtId="0" fontId="29" fillId="21" borderId="23" applyNumberFormat="0" applyFont="0" applyAlignment="0" applyProtection="0"/>
    <xf numFmtId="0" fontId="21" fillId="23" borderId="0" applyNumberFormat="0" applyBorder="0" applyAlignment="0" applyProtection="0"/>
    <xf numFmtId="0" fontId="58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59" fillId="28" borderId="0" applyNumberFormat="0" applyBorder="0" applyAlignment="0" applyProtection="0"/>
    <xf numFmtId="0" fontId="60" fillId="29" borderId="0" applyNumberFormat="0" applyBorder="0" applyAlignment="0" applyProtection="0"/>
    <xf numFmtId="0" fontId="61" fillId="30" borderId="33" applyNumberFormat="0" applyAlignment="0" applyProtection="0"/>
    <xf numFmtId="0" fontId="50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58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58" fillId="37" borderId="0" applyNumberFormat="0" applyBorder="0" applyAlignment="0" applyProtection="0"/>
    <xf numFmtId="0" fontId="62" fillId="38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</cellStyleXfs>
  <cellXfs count="278">
    <xf numFmtId="0" fontId="0" fillId="0" borderId="0" xfId="0"/>
    <xf numFmtId="0" fontId="26" fillId="0" borderId="0" xfId="0" applyFont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28" fillId="3" borderId="9" xfId="0" applyFont="1" applyFill="1" applyBorder="1"/>
    <xf numFmtId="0" fontId="26" fillId="4" borderId="9" xfId="0" applyFont="1" applyFill="1" applyBorder="1" applyAlignment="1">
      <alignment horizontal="center"/>
    </xf>
    <xf numFmtId="2" fontId="26" fillId="4" borderId="9" xfId="0" applyNumberFormat="1" applyFont="1" applyFill="1" applyBorder="1" applyAlignment="1">
      <alignment horizontal="center"/>
    </xf>
    <xf numFmtId="165" fontId="26" fillId="4" borderId="9" xfId="0" applyNumberFormat="1" applyFont="1" applyFill="1" applyBorder="1" applyAlignment="1">
      <alignment horizontal="center"/>
    </xf>
    <xf numFmtId="0" fontId="29" fillId="0" borderId="0" xfId="0" applyFont="1"/>
    <xf numFmtId="0" fontId="26" fillId="0" borderId="9" xfId="0" applyFont="1" applyBorder="1" applyAlignment="1">
      <alignment horizontal="center"/>
    </xf>
    <xf numFmtId="0" fontId="28" fillId="5" borderId="9" xfId="0" applyFont="1" applyFill="1" applyBorder="1"/>
    <xf numFmtId="0" fontId="28" fillId="5" borderId="9" xfId="0" applyFont="1" applyFill="1" applyBorder="1" applyAlignment="1">
      <alignment horizontal="center"/>
    </xf>
    <xf numFmtId="2" fontId="28" fillId="5" borderId="9" xfId="0" applyNumberFormat="1" applyFont="1" applyFill="1" applyBorder="1" applyAlignment="1">
      <alignment horizontal="center"/>
    </xf>
    <xf numFmtId="165" fontId="28" fillId="5" borderId="9" xfId="0" applyNumberFormat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3" fillId="0" borderId="9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29" fillId="9" borderId="9" xfId="0" applyFont="1" applyFill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10" borderId="9" xfId="0" applyFont="1" applyFill="1" applyBorder="1" applyAlignment="1">
      <alignment horizontal="center"/>
    </xf>
    <xf numFmtId="0" fontId="29" fillId="10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34" fillId="0" borderId="9" xfId="0" applyFont="1" applyBorder="1"/>
    <xf numFmtId="0" fontId="34" fillId="0" borderId="0" xfId="0" applyFont="1"/>
    <xf numFmtId="0" fontId="35" fillId="0" borderId="0" xfId="0" applyFont="1"/>
    <xf numFmtId="0" fontId="35" fillId="11" borderId="0" xfId="0" applyFont="1" applyFill="1"/>
    <xf numFmtId="0" fontId="35" fillId="11" borderId="9" xfId="0" applyFont="1" applyFill="1" applyBorder="1"/>
    <xf numFmtId="0" fontId="36" fillId="11" borderId="0" xfId="0" applyFont="1" applyFill="1"/>
    <xf numFmtId="0" fontId="29" fillId="11" borderId="0" xfId="0" applyFont="1" applyFill="1"/>
    <xf numFmtId="0" fontId="35" fillId="12" borderId="0" xfId="0" applyFont="1" applyFill="1"/>
    <xf numFmtId="0" fontId="35" fillId="12" borderId="9" xfId="0" applyFont="1" applyFill="1" applyBorder="1"/>
    <xf numFmtId="14" fontId="29" fillId="12" borderId="0" xfId="0" applyNumberFormat="1" applyFont="1" applyFill="1"/>
    <xf numFmtId="0" fontId="29" fillId="12" borderId="0" xfId="0" applyFont="1" applyFill="1"/>
    <xf numFmtId="0" fontId="35" fillId="13" borderId="0" xfId="0" applyFont="1" applyFill="1"/>
    <xf numFmtId="0" fontId="35" fillId="13" borderId="9" xfId="0" applyFont="1" applyFill="1" applyBorder="1"/>
    <xf numFmtId="0" fontId="29" fillId="13" borderId="0" xfId="0" applyFont="1" applyFill="1"/>
    <xf numFmtId="0" fontId="35" fillId="14" borderId="0" xfId="0" applyFont="1" applyFill="1"/>
    <xf numFmtId="3" fontId="35" fillId="14" borderId="9" xfId="0" applyNumberFormat="1" applyFont="1" applyFill="1" applyBorder="1"/>
    <xf numFmtId="0" fontId="29" fillId="14" borderId="0" xfId="0" applyFont="1" applyFill="1"/>
    <xf numFmtId="0" fontId="35" fillId="15" borderId="0" xfId="0" applyFont="1" applyFill="1"/>
    <xf numFmtId="0" fontId="35" fillId="15" borderId="9" xfId="0" applyFont="1" applyFill="1" applyBorder="1"/>
    <xf numFmtId="3" fontId="35" fillId="15" borderId="9" xfId="0" applyNumberFormat="1" applyFont="1" applyFill="1" applyBorder="1"/>
    <xf numFmtId="0" fontId="29" fillId="15" borderId="0" xfId="0" applyFont="1" applyFill="1"/>
    <xf numFmtId="0" fontId="35" fillId="16" borderId="0" xfId="0" applyFont="1" applyFill="1"/>
    <xf numFmtId="0" fontId="35" fillId="16" borderId="9" xfId="0" applyFont="1" applyFill="1" applyBorder="1"/>
    <xf numFmtId="0" fontId="29" fillId="16" borderId="0" xfId="0" applyFont="1" applyFill="1"/>
    <xf numFmtId="0" fontId="37" fillId="0" borderId="0" xfId="0" applyFont="1"/>
    <xf numFmtId="0" fontId="38" fillId="0" borderId="0" xfId="0" applyFont="1"/>
    <xf numFmtId="0" fontId="29" fillId="0" borderId="11" xfId="0" applyFont="1" applyBorder="1"/>
    <xf numFmtId="0" fontId="29" fillId="0" borderId="12" xfId="0" applyFont="1" applyBorder="1"/>
    <xf numFmtId="0" fontId="29" fillId="0" borderId="13" xfId="0" applyFont="1" applyBorder="1"/>
    <xf numFmtId="0" fontId="29" fillId="0" borderId="14" xfId="0" applyFont="1" applyBorder="1"/>
    <xf numFmtId="0" fontId="29" fillId="0" borderId="15" xfId="0" applyFont="1" applyBorder="1"/>
    <xf numFmtId="0" fontId="29" fillId="17" borderId="0" xfId="0" applyFont="1" applyFill="1"/>
    <xf numFmtId="0" fontId="29" fillId="17" borderId="15" xfId="0" applyFont="1" applyFill="1" applyBorder="1"/>
    <xf numFmtId="0" fontId="29" fillId="0" borderId="17" xfId="0" applyFont="1" applyBorder="1"/>
    <xf numFmtId="0" fontId="29" fillId="0" borderId="18" xfId="0" applyFont="1" applyBorder="1"/>
    <xf numFmtId="0" fontId="34" fillId="0" borderId="10" xfId="0" applyFont="1" applyBorder="1" applyAlignment="1">
      <alignment horizontal="right"/>
    </xf>
    <xf numFmtId="14" fontId="29" fillId="17" borderId="0" xfId="0" applyNumberFormat="1" applyFont="1" applyFill="1"/>
    <xf numFmtId="0" fontId="42" fillId="0" borderId="9" xfId="0" applyFont="1" applyBorder="1" applyAlignment="1">
      <alignment horizontal="center"/>
    </xf>
    <xf numFmtId="0" fontId="40" fillId="9" borderId="9" xfId="0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43" fillId="0" borderId="0" xfId="0" applyFont="1"/>
    <xf numFmtId="0" fontId="44" fillId="0" borderId="0" xfId="0" applyFont="1" applyAlignment="1">
      <alignment horizontal="center"/>
    </xf>
    <xf numFmtId="0" fontId="45" fillId="2" borderId="9" xfId="0" applyFont="1" applyFill="1" applyBorder="1" applyAlignment="1">
      <alignment horizontal="center"/>
    </xf>
    <xf numFmtId="0" fontId="45" fillId="2" borderId="9" xfId="0" applyFont="1" applyFill="1" applyBorder="1"/>
    <xf numFmtId="0" fontId="45" fillId="3" borderId="9" xfId="0" applyFont="1" applyFill="1" applyBorder="1"/>
    <xf numFmtId="0" fontId="44" fillId="4" borderId="9" xfId="0" applyFont="1" applyFill="1" applyBorder="1" applyAlignment="1">
      <alignment horizontal="center"/>
    </xf>
    <xf numFmtId="0" fontId="45" fillId="5" borderId="9" xfId="0" applyFont="1" applyFill="1" applyBorder="1" applyAlignment="1">
      <alignment horizontal="center"/>
    </xf>
    <xf numFmtId="0" fontId="45" fillId="5" borderId="9" xfId="0" applyFont="1" applyFill="1" applyBorder="1"/>
    <xf numFmtId="0" fontId="47" fillId="0" borderId="0" xfId="0" applyFont="1"/>
    <xf numFmtId="0" fontId="0" fillId="0" borderId="0" xfId="0" applyAlignment="1">
      <alignment horizontal="center"/>
    </xf>
    <xf numFmtId="0" fontId="48" fillId="19" borderId="21" xfId="2" applyAlignment="1">
      <alignment horizontal="center"/>
    </xf>
    <xf numFmtId="0" fontId="0" fillId="0" borderId="0" xfId="0" applyAlignment="1">
      <alignment vertical="top"/>
    </xf>
    <xf numFmtId="0" fontId="0" fillId="21" borderId="23" xfId="4" applyFont="1" applyAlignment="1">
      <alignment horizontal="center"/>
    </xf>
    <xf numFmtId="0" fontId="51" fillId="21" borderId="23" xfId="4" applyFont="1" applyAlignment="1">
      <alignment horizontal="left" vertical="top" wrapText="1"/>
    </xf>
    <xf numFmtId="0" fontId="52" fillId="21" borderId="23" xfId="4" applyFont="1" applyAlignment="1">
      <alignment horizontal="center"/>
    </xf>
    <xf numFmtId="0" fontId="53" fillId="0" borderId="9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165" fontId="26" fillId="4" borderId="5" xfId="0" applyNumberFormat="1" applyFont="1" applyFill="1" applyBorder="1" applyAlignment="1">
      <alignment horizontal="center"/>
    </xf>
    <xf numFmtId="0" fontId="21" fillId="23" borderId="21" xfId="5" applyBorder="1" applyAlignment="1">
      <alignment horizontal="center"/>
    </xf>
    <xf numFmtId="0" fontId="24" fillId="18" borderId="0" xfId="1" applyAlignment="1">
      <alignment horizontal="center"/>
    </xf>
    <xf numFmtId="0" fontId="49" fillId="20" borderId="22" xfId="3" applyAlignment="1">
      <alignment horizontal="center"/>
    </xf>
    <xf numFmtId="0" fontId="60" fillId="29" borderId="9" xfId="11" applyBorder="1" applyAlignment="1">
      <alignment horizontal="center"/>
    </xf>
    <xf numFmtId="0" fontId="61" fillId="30" borderId="33" xfId="12" applyAlignment="1">
      <alignment horizontal="center"/>
    </xf>
    <xf numFmtId="0" fontId="19" fillId="31" borderId="9" xfId="14" applyBorder="1" applyAlignment="1">
      <alignment horizontal="center"/>
    </xf>
    <xf numFmtId="0" fontId="19" fillId="34" borderId="9" xfId="17" applyBorder="1" applyAlignment="1">
      <alignment horizontal="center"/>
    </xf>
    <xf numFmtId="0" fontId="19" fillId="35" borderId="9" xfId="18" applyBorder="1" applyAlignment="1">
      <alignment horizontal="center"/>
    </xf>
    <xf numFmtId="0" fontId="58" fillId="37" borderId="9" xfId="20" applyBorder="1" applyAlignment="1">
      <alignment horizontal="center"/>
    </xf>
    <xf numFmtId="0" fontId="20" fillId="27" borderId="9" xfId="9" applyBorder="1" applyAlignment="1">
      <alignment horizontal="center"/>
    </xf>
    <xf numFmtId="0" fontId="19" fillId="36" borderId="21" xfId="19" applyBorder="1" applyAlignment="1">
      <alignment horizontal="center"/>
    </xf>
    <xf numFmtId="0" fontId="50" fillId="0" borderId="9" xfId="13" applyBorder="1" applyAlignment="1">
      <alignment horizontal="center"/>
    </xf>
    <xf numFmtId="0" fontId="34" fillId="0" borderId="9" xfId="0" applyFont="1" applyBorder="1" applyAlignment="1">
      <alignment horizontal="center"/>
    </xf>
    <xf numFmtId="0" fontId="59" fillId="28" borderId="19" xfId="10" applyBorder="1" applyAlignment="1">
      <alignment horizontal="center"/>
    </xf>
    <xf numFmtId="0" fontId="60" fillId="29" borderId="0" xfId="11" applyAlignment="1">
      <alignment horizontal="center"/>
    </xf>
    <xf numFmtId="0" fontId="20" fillId="25" borderId="22" xfId="7" applyBorder="1" applyAlignment="1">
      <alignment horizontal="center"/>
    </xf>
    <xf numFmtId="0" fontId="20" fillId="25" borderId="9" xfId="7" applyBorder="1" applyAlignment="1">
      <alignment horizontal="center"/>
    </xf>
    <xf numFmtId="0" fontId="20" fillId="25" borderId="21" xfId="7" applyBorder="1" applyAlignment="1">
      <alignment horizontal="center"/>
    </xf>
    <xf numFmtId="0" fontId="20" fillId="25" borderId="20" xfId="7" applyBorder="1" applyAlignment="1">
      <alignment horizontal="center"/>
    </xf>
    <xf numFmtId="0" fontId="20" fillId="25" borderId="0" xfId="7" applyAlignment="1">
      <alignment horizontal="center"/>
    </xf>
    <xf numFmtId="0" fontId="21" fillId="23" borderId="9" xfId="5" applyBorder="1" applyAlignment="1">
      <alignment horizontal="center"/>
    </xf>
    <xf numFmtId="0" fontId="21" fillId="23" borderId="20" xfId="5" applyBorder="1" applyAlignment="1">
      <alignment horizontal="center"/>
    </xf>
    <xf numFmtId="0" fontId="21" fillId="23" borderId="0" xfId="5" applyAlignment="1">
      <alignment horizontal="center"/>
    </xf>
    <xf numFmtId="0" fontId="20" fillId="26" borderId="22" xfId="8" applyBorder="1" applyAlignment="1">
      <alignment horizontal="center"/>
    </xf>
    <xf numFmtId="0" fontId="20" fillId="26" borderId="9" xfId="8" applyBorder="1" applyAlignment="1">
      <alignment horizontal="center"/>
    </xf>
    <xf numFmtId="0" fontId="20" fillId="26" borderId="21" xfId="8" applyBorder="1" applyAlignment="1">
      <alignment horizontal="center"/>
    </xf>
    <xf numFmtId="0" fontId="20" fillId="26" borderId="20" xfId="8" applyBorder="1" applyAlignment="1">
      <alignment horizontal="center"/>
    </xf>
    <xf numFmtId="0" fontId="20" fillId="26" borderId="0" xfId="8" applyAlignment="1">
      <alignment horizontal="center"/>
    </xf>
    <xf numFmtId="0" fontId="24" fillId="18" borderId="9" xfId="1" applyBorder="1" applyAlignment="1">
      <alignment horizontal="center"/>
    </xf>
    <xf numFmtId="0" fontId="24" fillId="18" borderId="20" xfId="1" applyBorder="1" applyAlignment="1">
      <alignment horizontal="center"/>
    </xf>
    <xf numFmtId="0" fontId="34" fillId="0" borderId="20" xfId="0" applyFont="1" applyBorder="1" applyAlignment="1">
      <alignment horizontal="center"/>
    </xf>
    <xf numFmtId="0" fontId="58" fillId="33" borderId="22" xfId="16" applyBorder="1" applyAlignment="1">
      <alignment horizontal="center"/>
    </xf>
    <xf numFmtId="0" fontId="58" fillId="33" borderId="0" xfId="16" applyAlignment="1">
      <alignment horizontal="center"/>
    </xf>
    <xf numFmtId="0" fontId="18" fillId="18" borderId="0" xfId="1" applyFont="1" applyAlignment="1">
      <alignment horizontal="center"/>
    </xf>
    <xf numFmtId="0" fontId="0" fillId="39" borderId="0" xfId="0" applyFill="1"/>
    <xf numFmtId="0" fontId="19" fillId="32" borderId="0" xfId="15"/>
    <xf numFmtId="0" fontId="17" fillId="40" borderId="0" xfId="22"/>
    <xf numFmtId="0" fontId="19" fillId="35" borderId="0" xfId="18"/>
    <xf numFmtId="0" fontId="17" fillId="41" borderId="0" xfId="23"/>
    <xf numFmtId="0" fontId="24" fillId="18" borderId="0" xfId="1"/>
    <xf numFmtId="0" fontId="43" fillId="32" borderId="9" xfId="15" applyFont="1" applyBorder="1"/>
    <xf numFmtId="0" fontId="43" fillId="32" borderId="9" xfId="15" applyFont="1" applyBorder="1" applyAlignment="1">
      <alignment horizontal="center"/>
    </xf>
    <xf numFmtId="0" fontId="43" fillId="40" borderId="9" xfId="22" applyFont="1" applyBorder="1"/>
    <xf numFmtId="0" fontId="43" fillId="40" borderId="9" xfId="22" applyFont="1" applyBorder="1" applyAlignment="1">
      <alignment horizontal="center"/>
    </xf>
    <xf numFmtId="0" fontId="43" fillId="40" borderId="0" xfId="22" applyFont="1"/>
    <xf numFmtId="0" fontId="43" fillId="35" borderId="9" xfId="18" applyFont="1" applyBorder="1"/>
    <xf numFmtId="0" fontId="43" fillId="35" borderId="9" xfId="18" applyFont="1" applyBorder="1" applyAlignment="1">
      <alignment horizontal="center"/>
    </xf>
    <xf numFmtId="0" fontId="43" fillId="35" borderId="0" xfId="18" applyFont="1"/>
    <xf numFmtId="0" fontId="43" fillId="41" borderId="9" xfId="23" applyFont="1" applyBorder="1"/>
    <xf numFmtId="0" fontId="43" fillId="41" borderId="9" xfId="23" applyFont="1" applyBorder="1" applyAlignment="1">
      <alignment horizontal="center"/>
    </xf>
    <xf numFmtId="0" fontId="43" fillId="41" borderId="0" xfId="23" applyFont="1"/>
    <xf numFmtId="0" fontId="43" fillId="18" borderId="9" xfId="1" applyFont="1" applyBorder="1"/>
    <xf numFmtId="0" fontId="43" fillId="18" borderId="9" xfId="1" applyFont="1" applyBorder="1" applyAlignment="1">
      <alignment horizontal="center"/>
    </xf>
    <xf numFmtId="0" fontId="43" fillId="18" borderId="0" xfId="1" applyFont="1"/>
    <xf numFmtId="0" fontId="63" fillId="38" borderId="9" xfId="21" applyFont="1" applyBorder="1"/>
    <xf numFmtId="0" fontId="63" fillId="38" borderId="9" xfId="21" applyFont="1" applyBorder="1" applyAlignment="1">
      <alignment horizontal="center"/>
    </xf>
    <xf numFmtId="0" fontId="44" fillId="2" borderId="9" xfId="0" applyFont="1" applyFill="1" applyBorder="1" applyAlignment="1">
      <alignment horizontal="center"/>
    </xf>
    <xf numFmtId="0" fontId="44" fillId="2" borderId="9" xfId="0" applyFont="1" applyFill="1" applyBorder="1"/>
    <xf numFmtId="0" fontId="44" fillId="3" borderId="9" xfId="0" applyFont="1" applyFill="1" applyBorder="1"/>
    <xf numFmtId="0" fontId="44" fillId="5" borderId="9" xfId="0" applyFont="1" applyFill="1" applyBorder="1" applyAlignment="1">
      <alignment horizontal="center"/>
    </xf>
    <xf numFmtId="0" fontId="44" fillId="5" borderId="9" xfId="0" applyFont="1" applyFill="1" applyBorder="1"/>
    <xf numFmtId="0" fontId="16" fillId="35" borderId="0" xfId="18" applyFont="1"/>
    <xf numFmtId="0" fontId="16" fillId="32" borderId="9" xfId="15" applyFont="1" applyBorder="1" applyAlignment="1">
      <alignment horizontal="center"/>
    </xf>
    <xf numFmtId="0" fontId="15" fillId="26" borderId="0" xfId="8" applyFont="1" applyAlignment="1">
      <alignment horizontal="center"/>
    </xf>
    <xf numFmtId="0" fontId="58" fillId="33" borderId="9" xfId="16" applyBorder="1"/>
    <xf numFmtId="0" fontId="58" fillId="33" borderId="9" xfId="16" applyBorder="1" applyAlignment="1">
      <alignment horizontal="center"/>
    </xf>
    <xf numFmtId="2" fontId="58" fillId="33" borderId="9" xfId="16" applyNumberFormat="1" applyBorder="1" applyAlignment="1">
      <alignment horizontal="center"/>
    </xf>
    <xf numFmtId="0" fontId="58" fillId="33" borderId="7" xfId="16" applyBorder="1" applyAlignment="1">
      <alignment horizontal="center"/>
    </xf>
    <xf numFmtId="0" fontId="58" fillId="33" borderId="0" xfId="16"/>
    <xf numFmtId="0" fontId="17" fillId="41" borderId="9" xfId="23" applyBorder="1" applyAlignment="1">
      <alignment horizontal="center"/>
    </xf>
    <xf numFmtId="0" fontId="48" fillId="19" borderId="34" xfId="2" applyBorder="1" applyAlignment="1">
      <alignment horizontal="center"/>
    </xf>
    <xf numFmtId="0" fontId="0" fillId="0" borderId="37" xfId="0" applyBorder="1"/>
    <xf numFmtId="0" fontId="0" fillId="0" borderId="0" xfId="0" applyAlignment="1">
      <alignment horizontal="center"/>
    </xf>
    <xf numFmtId="165" fontId="58" fillId="33" borderId="5" xfId="16" applyNumberFormat="1" applyBorder="1" applyAlignment="1">
      <alignment horizontal="center"/>
    </xf>
    <xf numFmtId="0" fontId="0" fillId="0" borderId="0" xfId="0"/>
    <xf numFmtId="0" fontId="26" fillId="0" borderId="0" xfId="0" applyFont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12" fillId="26" borderId="22" xfId="8" applyFont="1" applyBorder="1" applyAlignment="1">
      <alignment horizontal="center"/>
    </xf>
    <xf numFmtId="0" fontId="49" fillId="20" borderId="22" xfId="3"/>
    <xf numFmtId="0" fontId="20" fillId="26" borderId="22" xfId="8" applyBorder="1"/>
    <xf numFmtId="0" fontId="9" fillId="18" borderId="22" xfId="1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8" fillId="41" borderId="9" xfId="23" applyFont="1" applyBorder="1"/>
    <xf numFmtId="0" fontId="61" fillId="30" borderId="33" xfId="12"/>
    <xf numFmtId="0" fontId="62" fillId="38" borderId="9" xfId="21" applyBorder="1" applyAlignment="1">
      <alignment horizontal="center"/>
    </xf>
    <xf numFmtId="0" fontId="7" fillId="23" borderId="22" xfId="5" applyFont="1" applyBorder="1" applyAlignment="1">
      <alignment horizontal="center"/>
    </xf>
    <xf numFmtId="0" fontId="6" fillId="32" borderId="9" xfId="15" applyFont="1" applyBorder="1" applyAlignment="1">
      <alignment horizontal="center"/>
    </xf>
    <xf numFmtId="0" fontId="35" fillId="21" borderId="23" xfId="4" applyFont="1" applyAlignment="1">
      <alignment horizontal="left" vertical="top" wrapText="1"/>
    </xf>
    <xf numFmtId="0" fontId="0" fillId="0" borderId="0" xfId="0" applyAlignment="1">
      <alignment horizontal="center"/>
    </xf>
    <xf numFmtId="0" fontId="26" fillId="0" borderId="7" xfId="0" applyFont="1" applyBorder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3" fillId="26" borderId="22" xfId="8" applyFont="1" applyBorder="1"/>
    <xf numFmtId="0" fontId="2" fillId="18" borderId="0" xfId="1" applyFont="1" applyAlignment="1">
      <alignment horizontal="center"/>
    </xf>
    <xf numFmtId="0" fontId="1" fillId="23" borderId="0" xfId="5" applyFont="1" applyAlignment="1">
      <alignment horizontal="center"/>
    </xf>
    <xf numFmtId="0" fontId="0" fillId="0" borderId="0" xfId="0"/>
    <xf numFmtId="0" fontId="61" fillId="30" borderId="33" xfId="12"/>
    <xf numFmtId="165" fontId="58" fillId="33" borderId="5" xfId="16" applyNumberForma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165" fontId="61" fillId="30" borderId="33" xfId="12" applyNumberFormat="1"/>
    <xf numFmtId="0" fontId="61" fillId="30" borderId="33" xfId="12"/>
    <xf numFmtId="0" fontId="61" fillId="30" borderId="38" xfId="12" applyBorder="1" applyAlignment="1">
      <alignment horizontal="center"/>
    </xf>
    <xf numFmtId="0" fontId="61" fillId="30" borderId="39" xfId="12" applyBorder="1" applyAlignment="1">
      <alignment horizontal="center"/>
    </xf>
    <xf numFmtId="165" fontId="54" fillId="2" borderId="35" xfId="0" applyNumberFormat="1" applyFont="1" applyFill="1" applyBorder="1" applyAlignment="1">
      <alignment horizontal="center"/>
    </xf>
    <xf numFmtId="165" fontId="54" fillId="2" borderId="26" xfId="0" applyNumberFormat="1" applyFont="1" applyFill="1" applyBorder="1" applyAlignment="1">
      <alignment horizontal="center"/>
    </xf>
    <xf numFmtId="165" fontId="58" fillId="24" borderId="5" xfId="6" applyNumberFormat="1" applyBorder="1" applyAlignment="1">
      <alignment horizontal="center"/>
    </xf>
    <xf numFmtId="165" fontId="58" fillId="24" borderId="7" xfId="6" applyNumberFormat="1" applyBorder="1" applyAlignment="1">
      <alignment horizontal="center"/>
    </xf>
    <xf numFmtId="167" fontId="26" fillId="22" borderId="5" xfId="0" applyNumberFormat="1" applyFont="1" applyFill="1" applyBorder="1" applyAlignment="1">
      <alignment horizontal="center"/>
    </xf>
    <xf numFmtId="167" fontId="26" fillId="22" borderId="7" xfId="0" applyNumberFormat="1" applyFont="1" applyFill="1" applyBorder="1" applyAlignment="1">
      <alignment horizontal="center"/>
    </xf>
    <xf numFmtId="165" fontId="54" fillId="2" borderId="25" xfId="0" applyNumberFormat="1" applyFont="1" applyFill="1" applyBorder="1" applyAlignment="1">
      <alignment horizontal="center"/>
    </xf>
    <xf numFmtId="165" fontId="58" fillId="33" borderId="25" xfId="16" applyNumberFormat="1" applyBorder="1" applyAlignment="1">
      <alignment horizontal="center"/>
    </xf>
    <xf numFmtId="165" fontId="58" fillId="33" borderId="26" xfId="16" applyNumberFormat="1" applyBorder="1" applyAlignment="1">
      <alignment horizontal="center"/>
    </xf>
    <xf numFmtId="165" fontId="58" fillId="33" borderId="5" xfId="16" applyNumberFormat="1" applyBorder="1" applyAlignment="1">
      <alignment horizontal="center"/>
    </xf>
    <xf numFmtId="165" fontId="58" fillId="33" borderId="7" xfId="16" applyNumberFormat="1" applyBorder="1" applyAlignment="1">
      <alignment horizontal="center"/>
    </xf>
    <xf numFmtId="167" fontId="58" fillId="33" borderId="5" xfId="16" applyNumberFormat="1" applyBorder="1" applyAlignment="1">
      <alignment horizontal="center"/>
    </xf>
    <xf numFmtId="167" fontId="58" fillId="33" borderId="7" xfId="16" applyNumberForma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164" fontId="55" fillId="0" borderId="1" xfId="0" applyNumberFormat="1" applyFont="1" applyBorder="1" applyAlignment="1">
      <alignment horizontal="center"/>
    </xf>
    <xf numFmtId="164" fontId="55" fillId="0" borderId="2" xfId="0" applyNumberFormat="1" applyFont="1" applyBorder="1" applyAlignment="1">
      <alignment horizontal="center"/>
    </xf>
    <xf numFmtId="164" fontId="55" fillId="0" borderId="3" xfId="0" applyNumberFormat="1" applyFont="1" applyBorder="1" applyAlignment="1">
      <alignment horizontal="center"/>
    </xf>
    <xf numFmtId="164" fontId="55" fillId="0" borderId="10" xfId="0" applyNumberFormat="1" applyFont="1" applyBorder="1" applyAlignment="1">
      <alignment horizontal="center"/>
    </xf>
    <xf numFmtId="164" fontId="55" fillId="0" borderId="0" xfId="0" applyNumberFormat="1" applyFont="1" applyAlignment="1">
      <alignment horizontal="center"/>
    </xf>
    <xf numFmtId="164" fontId="55" fillId="0" borderId="36" xfId="0" applyNumberFormat="1" applyFont="1" applyBorder="1" applyAlignment="1">
      <alignment horizont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49" fontId="28" fillId="2" borderId="5" xfId="0" applyNumberFormat="1" applyFont="1" applyFill="1" applyBorder="1" applyAlignment="1">
      <alignment horizontal="center"/>
    </xf>
    <xf numFmtId="49" fontId="28" fillId="2" borderId="6" xfId="0" applyNumberFormat="1" applyFont="1" applyFill="1" applyBorder="1" applyAlignment="1">
      <alignment horizontal="center"/>
    </xf>
    <xf numFmtId="49" fontId="28" fillId="2" borderId="7" xfId="0" applyNumberFormat="1" applyFont="1" applyFill="1" applyBorder="1" applyAlignment="1">
      <alignment horizontal="center"/>
    </xf>
    <xf numFmtId="0" fontId="54" fillId="2" borderId="25" xfId="0" applyFont="1" applyFill="1" applyBorder="1" applyAlignment="1">
      <alignment horizontal="center"/>
    </xf>
    <xf numFmtId="0" fontId="54" fillId="2" borderId="26" xfId="0" applyFont="1" applyFill="1" applyBorder="1" applyAlignment="1">
      <alignment horizontal="center"/>
    </xf>
    <xf numFmtId="0" fontId="58" fillId="24" borderId="5" xfId="6" applyBorder="1" applyAlignment="1">
      <alignment horizontal="center"/>
    </xf>
    <xf numFmtId="0" fontId="58" fillId="24" borderId="7" xfId="6" applyBorder="1" applyAlignment="1">
      <alignment horizontal="center"/>
    </xf>
    <xf numFmtId="0" fontId="43" fillId="32" borderId="10" xfId="15" applyFont="1" applyBorder="1" applyAlignment="1">
      <alignment horizontal="center"/>
    </xf>
    <xf numFmtId="0" fontId="43" fillId="32" borderId="0" xfId="15" applyFont="1" applyAlignment="1">
      <alignment horizontal="center"/>
    </xf>
    <xf numFmtId="0" fontId="0" fillId="0" borderId="0" xfId="0"/>
    <xf numFmtId="164" fontId="64" fillId="0" borderId="0" xfId="0" applyNumberFormat="1" applyFont="1" applyAlignment="1">
      <alignment horizontal="center"/>
    </xf>
    <xf numFmtId="0" fontId="65" fillId="0" borderId="0" xfId="0" applyFont="1"/>
    <xf numFmtId="0" fontId="45" fillId="2" borderId="5" xfId="0" applyFont="1" applyFill="1" applyBorder="1" applyAlignment="1">
      <alignment horizontal="center"/>
    </xf>
    <xf numFmtId="0" fontId="46" fillId="0" borderId="6" xfId="0" applyFont="1" applyBorder="1"/>
    <xf numFmtId="0" fontId="46" fillId="0" borderId="7" xfId="0" applyFont="1" applyBorder="1"/>
    <xf numFmtId="0" fontId="45" fillId="2" borderId="4" xfId="0" applyFont="1" applyFill="1" applyBorder="1" applyAlignment="1">
      <alignment horizontal="center" vertical="center"/>
    </xf>
    <xf numFmtId="0" fontId="46" fillId="0" borderId="8" xfId="0" applyFont="1" applyBorder="1"/>
    <xf numFmtId="49" fontId="45" fillId="2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44" fillId="2" borderId="5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43" fillId="0" borderId="0" xfId="0" applyFont="1"/>
    <xf numFmtId="0" fontId="24" fillId="18" borderId="0" xfId="1" applyAlignment="1">
      <alignment horizontal="center"/>
    </xf>
    <xf numFmtId="0" fontId="44" fillId="2" borderId="4" xfId="0" applyFont="1" applyFill="1" applyBorder="1" applyAlignment="1">
      <alignment horizontal="center" vertical="center"/>
    </xf>
    <xf numFmtId="49" fontId="44" fillId="2" borderId="5" xfId="0" applyNumberFormat="1" applyFont="1" applyFill="1" applyBorder="1" applyAlignment="1">
      <alignment horizontal="center"/>
    </xf>
    <xf numFmtId="164" fontId="44" fillId="0" borderId="0" xfId="0" applyNumberFormat="1" applyFont="1" applyAlignment="1">
      <alignment horizontal="center"/>
    </xf>
    <xf numFmtId="0" fontId="56" fillId="19" borderId="27" xfId="2" applyFont="1" applyBorder="1" applyAlignment="1">
      <alignment horizontal="center"/>
    </xf>
    <xf numFmtId="0" fontId="48" fillId="19" borderId="28" xfId="2" applyBorder="1" applyAlignment="1">
      <alignment horizontal="center"/>
    </xf>
    <xf numFmtId="0" fontId="48" fillId="19" borderId="29" xfId="2" applyBorder="1" applyAlignment="1">
      <alignment horizontal="center"/>
    </xf>
    <xf numFmtId="0" fontId="48" fillId="19" borderId="30" xfId="2" applyBorder="1" applyAlignment="1">
      <alignment horizontal="center"/>
    </xf>
    <xf numFmtId="0" fontId="48" fillId="19" borderId="31" xfId="2" applyBorder="1" applyAlignment="1">
      <alignment horizontal="center"/>
    </xf>
    <xf numFmtId="0" fontId="48" fillId="19" borderId="32" xfId="2" applyBorder="1" applyAlignment="1">
      <alignment horizont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4" fillId="32" borderId="21" xfId="15" applyFont="1" applyBorder="1" applyAlignment="1">
      <alignment horizontal="center"/>
    </xf>
    <xf numFmtId="0" fontId="19" fillId="32" borderId="21" xfId="15" applyBorder="1" applyAlignment="1">
      <alignment horizontal="center"/>
    </xf>
    <xf numFmtId="0" fontId="4" fillId="32" borderId="21" xfId="15" applyFont="1" applyBorder="1" applyAlignment="1">
      <alignment horizontal="center"/>
    </xf>
    <xf numFmtId="166" fontId="10" fillId="15" borderId="14" xfId="0" applyNumberFormat="1" applyFont="1" applyFill="1" applyBorder="1" applyAlignment="1">
      <alignment horizontal="center"/>
    </xf>
    <xf numFmtId="166" fontId="29" fillId="15" borderId="0" xfId="0" applyNumberFormat="1" applyFont="1" applyFill="1" applyAlignment="1">
      <alignment horizontal="center"/>
    </xf>
    <xf numFmtId="166" fontId="11" fillId="15" borderId="14" xfId="0" applyNumberFormat="1" applyFont="1" applyFill="1" applyBorder="1" applyAlignment="1">
      <alignment horizontal="center"/>
    </xf>
    <xf numFmtId="166" fontId="29" fillId="15" borderId="14" xfId="0" applyNumberFormat="1" applyFont="1" applyFill="1" applyBorder="1" applyAlignment="1">
      <alignment horizontal="center"/>
    </xf>
    <xf numFmtId="166" fontId="13" fillId="15" borderId="14" xfId="0" applyNumberFormat="1" applyFont="1" applyFill="1" applyBorder="1" applyAlignment="1">
      <alignment horizontal="center"/>
    </xf>
    <xf numFmtId="166" fontId="24" fillId="17" borderId="14" xfId="0" applyNumberFormat="1" applyFont="1" applyFill="1" applyBorder="1" applyAlignment="1">
      <alignment horizontal="center"/>
    </xf>
    <xf numFmtId="166" fontId="25" fillId="17" borderId="0" xfId="0" applyNumberFormat="1" applyFont="1" applyFill="1" applyAlignment="1">
      <alignment horizontal="center"/>
    </xf>
    <xf numFmtId="0" fontId="40" fillId="0" borderId="12" xfId="0" applyFont="1" applyBorder="1" applyAlignment="1">
      <alignment horizontal="center"/>
    </xf>
    <xf numFmtId="0" fontId="27" fillId="0" borderId="12" xfId="0" applyFont="1" applyBorder="1"/>
    <xf numFmtId="0" fontId="29" fillId="15" borderId="0" xfId="0" applyFont="1" applyFill="1"/>
    <xf numFmtId="0" fontId="27" fillId="0" borderId="15" xfId="0" applyFont="1" applyBorder="1"/>
    <xf numFmtId="164" fontId="32" fillId="6" borderId="11" xfId="0" applyNumberFormat="1" applyFont="1" applyFill="1" applyBorder="1" applyAlignment="1">
      <alignment horizontal="center"/>
    </xf>
    <xf numFmtId="0" fontId="27" fillId="6" borderId="12" xfId="0" applyFont="1" applyFill="1" applyBorder="1"/>
    <xf numFmtId="0" fontId="27" fillId="6" borderId="13" xfId="0" applyFont="1" applyFill="1" applyBorder="1"/>
    <xf numFmtId="0" fontId="27" fillId="7" borderId="14" xfId="0" applyFont="1" applyFill="1" applyBorder="1"/>
    <xf numFmtId="0" fontId="27" fillId="7" borderId="15" xfId="0" applyFont="1" applyFill="1" applyBorder="1"/>
    <xf numFmtId="0" fontId="27" fillId="8" borderId="16" xfId="0" applyFont="1" applyFill="1" applyBorder="1"/>
    <xf numFmtId="0" fontId="27" fillId="8" borderId="17" xfId="0" applyFont="1" applyFill="1" applyBorder="1"/>
    <xf numFmtId="0" fontId="27" fillId="8" borderId="18" xfId="0" applyFont="1" applyFill="1" applyBorder="1"/>
    <xf numFmtId="0" fontId="29" fillId="12" borderId="0" xfId="0" applyFont="1" applyFill="1"/>
    <xf numFmtId="0" fontId="29" fillId="13" borderId="0" xfId="0" applyFont="1" applyFill="1"/>
    <xf numFmtId="0" fontId="29" fillId="16" borderId="0" xfId="0" applyFont="1" applyFill="1"/>
    <xf numFmtId="0" fontId="29" fillId="17" borderId="14" xfId="0" applyFont="1" applyFill="1" applyBorder="1" applyAlignment="1">
      <alignment horizontal="center"/>
    </xf>
    <xf numFmtId="0" fontId="29" fillId="17" borderId="0" xfId="0" applyFont="1" applyFill="1" applyAlignment="1">
      <alignment horizontal="center"/>
    </xf>
    <xf numFmtId="0" fontId="41" fillId="0" borderId="24" xfId="0" applyFon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17" fontId="65" fillId="0" borderId="0" xfId="0" applyNumberFormat="1" applyFont="1" applyAlignment="1">
      <alignment horizontal="center"/>
    </xf>
    <xf numFmtId="0" fontId="65" fillId="0" borderId="0" xfId="0" applyFont="1" applyAlignment="1">
      <alignment horizontal="center"/>
    </xf>
  </cellXfs>
  <cellStyles count="24">
    <cellStyle name="20% - Accent1" xfId="14" builtinId="30"/>
    <cellStyle name="20% - Accent2" xfId="17" builtinId="34"/>
    <cellStyle name="20% - Accent4" xfId="19" builtinId="42"/>
    <cellStyle name="40% - Accent1" xfId="7" builtinId="31"/>
    <cellStyle name="40% - Accent3" xfId="5" builtinId="39"/>
    <cellStyle name="40% - Accent4" xfId="8" builtinId="43"/>
    <cellStyle name="60% - Accent1" xfId="15" builtinId="32"/>
    <cellStyle name="60% - Accent2" xfId="22" builtinId="36"/>
    <cellStyle name="60% - Accent3" xfId="18" builtinId="40"/>
    <cellStyle name="60% - Accent4" xfId="23" builtinId="44"/>
    <cellStyle name="60% - Accent5" xfId="9" builtinId="48"/>
    <cellStyle name="60% - Accent6" xfId="1" builtinId="52"/>
    <cellStyle name="Accent2" xfId="16" builtinId="33"/>
    <cellStyle name="Accent3" xfId="6" builtinId="37"/>
    <cellStyle name="Accent6" xfId="20" builtinId="49"/>
    <cellStyle name="Bad" xfId="11" builtinId="27"/>
    <cellStyle name="Check Cell" xfId="3" builtinId="23"/>
    <cellStyle name="Good" xfId="10" builtinId="26"/>
    <cellStyle name="Input" xfId="2" builtinId="20"/>
    <cellStyle name="Neutral" xfId="21" builtinId="28"/>
    <cellStyle name="Normal" xfId="0" builtinId="0"/>
    <cellStyle name="Note" xfId="4" builtinId="10"/>
    <cellStyle name="Output" xfId="12" builtinId="21"/>
    <cellStyle name="Warning Text" xfId="13" builtinId="11"/>
  </cellStyles>
  <dxfs count="15">
    <dxf>
      <numFmt numFmtId="0" formatCode="General"/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4E2A0"/>
          <bgColor rgb="FFC4E2A0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house rent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house rent-style 2" pivot="0" count="4" xr9:uid="{00000000-0011-0000-FFFF-FFFF01000000}">
      <tableStyleElement type="headerRow" dxfId="11"/>
      <tableStyleElement type="total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6:O11" headerRowCount="0">
  <tableColumns count="1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2DED2DDA-AF61-42AE-9838-EFD01D93ED2D}" name="Column12" dataDxfId="0">
      <calculatedColumnFormula array="1">AV</calculatedColumnFormula>
    </tableColumn>
    <tableColumn id="13" xr3:uid="{E003C34D-88ED-4E71-81BE-C35E05C26147}" name="Column13"/>
    <tableColumn id="14" xr3:uid="{9490BAEC-2236-45BC-989A-C56F3BEF44B6}" name="Column14"/>
  </tableColumns>
  <tableStyleInfo name="house rent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L5" headerRowCount="0">
  <tableColumns count="1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</tableColumns>
  <tableStyleInfo name="house ren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493DE21-F7C9-4451-A346-7DB11734A0C2}">
  <we:reference id="wa200001584" version="2.8.1.5" store="en-US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F4D037A-13C4-4E48-9C24-996959AF2FC2}">
  <we:reference id="wa200005281" version="1.0.0.0" store="en-US" storeType="OMEX"/>
  <we:alternateReferences>
    <we:reference id="wa200005281" version="1.0.0.0" store="WA20000528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36C09"/>
    <pageSetUpPr fitToPage="1"/>
  </sheetPr>
  <dimension ref="A1:CH1000"/>
  <sheetViews>
    <sheetView showGridLines="0" workbookViewId="0">
      <selection activeCell="P23" sqref="P23"/>
    </sheetView>
  </sheetViews>
  <sheetFormatPr defaultColWidth="14.42578125" defaultRowHeight="15" customHeight="1" x14ac:dyDescent="0.25"/>
  <cols>
    <col min="1" max="1" width="2.28515625" customWidth="1"/>
    <col min="2" max="2" width="20.28515625" customWidth="1"/>
    <col min="3" max="3" width="13.7109375" customWidth="1"/>
    <col min="4" max="4" width="13.5703125" customWidth="1"/>
    <col min="5" max="5" width="15.140625" customWidth="1"/>
    <col min="6" max="6" width="15.5703125" customWidth="1"/>
    <col min="7" max="7" width="17.140625" customWidth="1"/>
    <col min="8" max="26" width="8.7109375" customWidth="1"/>
  </cols>
  <sheetData>
    <row r="1" spans="1:86" ht="15" customHeight="1" x14ac:dyDescent="0.25">
      <c r="A1" s="154"/>
      <c r="B1" s="154"/>
      <c r="C1" s="155"/>
      <c r="D1" s="155"/>
      <c r="E1" s="155"/>
      <c r="F1" s="155"/>
      <c r="G1" s="155"/>
      <c r="H1" s="203" t="s">
        <v>87</v>
      </c>
      <c r="I1" s="204"/>
      <c r="J1" s="204"/>
      <c r="K1" s="204"/>
      <c r="L1" s="205"/>
      <c r="M1" s="154"/>
      <c r="N1" s="154"/>
      <c r="O1" s="154"/>
    </row>
    <row r="2" spans="1:86" ht="15" customHeight="1" x14ac:dyDescent="0.25">
      <c r="A2" s="154"/>
      <c r="B2" s="209" t="s">
        <v>0</v>
      </c>
      <c r="C2" s="211" t="s">
        <v>86</v>
      </c>
      <c r="D2" s="212"/>
      <c r="E2" s="212"/>
      <c r="F2" s="212"/>
      <c r="G2" s="213"/>
      <c r="H2" s="206"/>
      <c r="I2" s="207"/>
      <c r="J2" s="207"/>
      <c r="K2" s="207"/>
      <c r="L2" s="208"/>
      <c r="M2" s="154"/>
      <c r="N2" s="154"/>
      <c r="O2" s="154"/>
    </row>
    <row r="3" spans="1:86" x14ac:dyDescent="0.25">
      <c r="A3" s="154"/>
      <c r="B3" s="210"/>
      <c r="C3" s="2" t="s">
        <v>1</v>
      </c>
      <c r="D3" s="2" t="s">
        <v>2</v>
      </c>
      <c r="E3" s="2" t="s">
        <v>3</v>
      </c>
      <c r="F3" s="2" t="s">
        <v>4</v>
      </c>
      <c r="G3" s="156" t="s">
        <v>5</v>
      </c>
      <c r="H3" s="214" t="s">
        <v>44</v>
      </c>
      <c r="I3" s="215"/>
      <c r="J3" s="78" t="s">
        <v>42</v>
      </c>
      <c r="K3" s="8" t="s">
        <v>43</v>
      </c>
      <c r="L3" s="216" t="s">
        <v>5</v>
      </c>
      <c r="M3" s="217"/>
      <c r="N3" s="201" t="s">
        <v>45</v>
      </c>
      <c r="O3" s="202"/>
      <c r="P3" s="158"/>
    </row>
    <row r="4" spans="1:86" ht="15.75" x14ac:dyDescent="0.25">
      <c r="A4" s="154"/>
      <c r="B4" s="3" t="s">
        <v>72</v>
      </c>
      <c r="C4" s="121">
        <v>40</v>
      </c>
      <c r="D4" s="5">
        <f t="shared" ref="D4:D12" si="0">$F$13/$C$13</f>
        <v>57.56547619047619</v>
      </c>
      <c r="E4" s="5">
        <f>C4*D4</f>
        <v>2302.6190476190477</v>
      </c>
      <c r="F4" s="5">
        <v>2429</v>
      </c>
      <c r="G4" s="79">
        <f>F4-E4</f>
        <v>126.38095238095229</v>
      </c>
      <c r="H4" s="194">
        <f t="shared" ref="H4:H9" si="1">G4</f>
        <v>126.38095238095229</v>
      </c>
      <c r="I4" s="189"/>
      <c r="J4" s="78">
        <v>55</v>
      </c>
      <c r="K4" s="8">
        <f>AVERAGE(J12/7)</f>
        <v>29.285714285714285</v>
      </c>
      <c r="L4" s="190">
        <f>SUM(H4,J4)-K4</f>
        <v>152.09523809523802</v>
      </c>
      <c r="M4" s="191"/>
      <c r="N4" s="192" t="s">
        <v>57</v>
      </c>
      <c r="O4" s="193"/>
      <c r="P4" s="158"/>
    </row>
    <row r="5" spans="1:86" ht="15.75" x14ac:dyDescent="0.25">
      <c r="A5" s="154"/>
      <c r="B5" s="3" t="s">
        <v>67</v>
      </c>
      <c r="C5" s="123">
        <v>48</v>
      </c>
      <c r="D5" s="5">
        <f t="shared" si="0"/>
        <v>57.56547619047619</v>
      </c>
      <c r="E5" s="5">
        <f>C5*D5</f>
        <v>2763.1428571428569</v>
      </c>
      <c r="F5" s="5">
        <v>2212</v>
      </c>
      <c r="G5" s="79">
        <f>F5-E5</f>
        <v>-551.14285714285688</v>
      </c>
      <c r="H5" s="194">
        <f t="shared" si="1"/>
        <v>-551.14285714285688</v>
      </c>
      <c r="I5" s="189"/>
      <c r="J5" s="78">
        <v>30</v>
      </c>
      <c r="K5" s="8">
        <f>AVERAGE(J12/7)</f>
        <v>29.285714285714285</v>
      </c>
      <c r="L5" s="190">
        <f t="shared" ref="L5" si="2">SUM(H5,J5)-K5</f>
        <v>-550.42857142857122</v>
      </c>
      <c r="M5" s="191"/>
      <c r="N5" s="192" t="s">
        <v>57</v>
      </c>
      <c r="O5" s="193"/>
      <c r="P5" s="158" t="s">
        <v>83</v>
      </c>
      <c r="AH5">
        <f>SUM(C5:AG5)</f>
        <v>3487.2797619047624</v>
      </c>
    </row>
    <row r="6" spans="1:86" ht="15.75" x14ac:dyDescent="0.25">
      <c r="A6" s="154"/>
      <c r="B6" s="3" t="s">
        <v>68</v>
      </c>
      <c r="C6" s="126">
        <v>34</v>
      </c>
      <c r="D6" s="5">
        <f t="shared" si="0"/>
        <v>57.56547619047619</v>
      </c>
      <c r="E6" s="5">
        <f>C6*D6</f>
        <v>1957.2261904761904</v>
      </c>
      <c r="F6" s="5">
        <v>2055</v>
      </c>
      <c r="G6" s="79">
        <f>F6-E6</f>
        <v>97.773809523809632</v>
      </c>
      <c r="H6" s="194">
        <f t="shared" si="1"/>
        <v>97.773809523809632</v>
      </c>
      <c r="I6" s="189"/>
      <c r="J6" s="78">
        <v>0</v>
      </c>
      <c r="K6" s="8">
        <f>AVERAGE(J12/7)</f>
        <v>29.285714285714285</v>
      </c>
      <c r="L6" s="190">
        <f t="shared" ref="L6:L11" si="3">SUM(H6,J6)-K6</f>
        <v>68.488095238095354</v>
      </c>
      <c r="M6" s="191"/>
      <c r="N6" s="192" t="s">
        <v>57</v>
      </c>
      <c r="O6" s="193"/>
      <c r="P6" s="158" t="s">
        <v>83</v>
      </c>
    </row>
    <row r="7" spans="1:86" s="148" customFormat="1" ht="15" hidden="1" customHeight="1" x14ac:dyDescent="0.25">
      <c r="A7" s="154"/>
      <c r="B7" s="144" t="s">
        <v>47</v>
      </c>
      <c r="C7" s="145">
        <v>0</v>
      </c>
      <c r="D7" s="146">
        <f t="shared" si="0"/>
        <v>57.56547619047619</v>
      </c>
      <c r="E7" s="146">
        <f t="shared" ref="E7:E12" si="4">C7*D7</f>
        <v>0</v>
      </c>
      <c r="F7" s="146">
        <v>0</v>
      </c>
      <c r="G7" s="153">
        <f>F7-E7</f>
        <v>0</v>
      </c>
      <c r="H7" s="195">
        <f t="shared" si="1"/>
        <v>0</v>
      </c>
      <c r="I7" s="196"/>
      <c r="J7" s="147">
        <v>0</v>
      </c>
      <c r="K7" s="145"/>
      <c r="L7" s="197">
        <f t="shared" si="3"/>
        <v>0</v>
      </c>
      <c r="M7" s="198"/>
      <c r="N7" s="199" t="s">
        <v>57</v>
      </c>
      <c r="O7" s="200"/>
      <c r="P7" s="158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</row>
    <row r="8" spans="1:86" ht="15" customHeight="1" x14ac:dyDescent="0.25">
      <c r="A8" s="154"/>
      <c r="B8" s="3" t="s">
        <v>69</v>
      </c>
      <c r="C8" s="132">
        <v>5</v>
      </c>
      <c r="D8" s="5">
        <f t="shared" si="0"/>
        <v>57.56547619047619</v>
      </c>
      <c r="E8" s="5">
        <f>C8*D8</f>
        <v>287.82738095238096</v>
      </c>
      <c r="F8" s="5">
        <v>180</v>
      </c>
      <c r="G8" s="79">
        <f>F8-E8</f>
        <v>-107.82738095238096</v>
      </c>
      <c r="H8" s="194">
        <f t="shared" si="1"/>
        <v>-107.82738095238096</v>
      </c>
      <c r="I8" s="189"/>
      <c r="J8" s="78">
        <v>0</v>
      </c>
      <c r="K8" s="8">
        <f>AVERAGE(J12/7)</f>
        <v>29.285714285714285</v>
      </c>
      <c r="L8" s="190">
        <f t="shared" si="3"/>
        <v>-137.11309523809524</v>
      </c>
      <c r="M8" s="191"/>
      <c r="N8" s="192" t="s">
        <v>57</v>
      </c>
      <c r="O8" s="193"/>
      <c r="P8" s="158"/>
    </row>
    <row r="9" spans="1:86" ht="15" customHeight="1" x14ac:dyDescent="0.25">
      <c r="A9" s="154"/>
      <c r="B9" s="3" t="s">
        <v>70</v>
      </c>
      <c r="C9" s="166">
        <v>0</v>
      </c>
      <c r="D9" s="5">
        <f t="shared" si="0"/>
        <v>57.56547619047619</v>
      </c>
      <c r="E9" s="5">
        <f t="shared" si="4"/>
        <v>0</v>
      </c>
      <c r="F9" s="5">
        <v>0</v>
      </c>
      <c r="G9" s="6">
        <f t="shared" ref="G9:G12" si="5">F9-E9</f>
        <v>0</v>
      </c>
      <c r="H9" s="188">
        <f t="shared" si="1"/>
        <v>0</v>
      </c>
      <c r="I9" s="189"/>
      <c r="J9" s="78">
        <v>0</v>
      </c>
      <c r="K9" s="8">
        <f>AVERAGE(J12/7)</f>
        <v>29.285714285714285</v>
      </c>
      <c r="L9" s="190">
        <f>SUM(H9,J9)-K9</f>
        <v>-29.285714285714285</v>
      </c>
      <c r="M9" s="191"/>
      <c r="N9" s="192" t="s">
        <v>57</v>
      </c>
      <c r="O9" s="193"/>
      <c r="P9" s="157"/>
      <c r="R9" t="s">
        <v>59</v>
      </c>
    </row>
    <row r="10" spans="1:86" ht="15" customHeight="1" x14ac:dyDescent="0.25">
      <c r="A10" s="154"/>
      <c r="B10" s="3" t="s">
        <v>71</v>
      </c>
      <c r="C10" s="104">
        <v>26</v>
      </c>
      <c r="D10" s="5">
        <f t="shared" si="0"/>
        <v>57.56547619047619</v>
      </c>
      <c r="E10" s="5">
        <f t="shared" si="4"/>
        <v>1496.702380952381</v>
      </c>
      <c r="F10" s="5">
        <v>1175</v>
      </c>
      <c r="G10" s="6">
        <f>F10-E10</f>
        <v>-321.70238095238096</v>
      </c>
      <c r="H10" s="188">
        <f t="shared" ref="H10" si="6">G10</f>
        <v>-321.70238095238096</v>
      </c>
      <c r="I10" s="189"/>
      <c r="J10" s="163">
        <v>120</v>
      </c>
      <c r="K10" s="8">
        <f>AVERAGE(J12/7)</f>
        <v>29.285714285714285</v>
      </c>
      <c r="L10" s="190">
        <f>SUM(H10,J10)-K10</f>
        <v>-230.98809523809524</v>
      </c>
      <c r="M10" s="191"/>
      <c r="N10" s="192" t="s">
        <v>57</v>
      </c>
      <c r="O10" s="193"/>
      <c r="P10" s="154" t="s">
        <v>83</v>
      </c>
    </row>
    <row r="11" spans="1:86" ht="15" customHeight="1" x14ac:dyDescent="0.25">
      <c r="A11" s="154"/>
      <c r="B11" s="3" t="s">
        <v>75</v>
      </c>
      <c r="C11" s="4">
        <v>15</v>
      </c>
      <c r="D11" s="5">
        <f t="shared" si="0"/>
        <v>57.56547619047619</v>
      </c>
      <c r="E11" s="5">
        <f t="shared" si="4"/>
        <v>863.48214285714289</v>
      </c>
      <c r="F11" s="5">
        <v>1620</v>
      </c>
      <c r="G11" s="6">
        <f>F11-E11</f>
        <v>756.51785714285711</v>
      </c>
      <c r="H11" s="188">
        <f>G11</f>
        <v>756.51785714285711</v>
      </c>
      <c r="I11" s="189"/>
      <c r="J11" s="171">
        <v>0</v>
      </c>
      <c r="K11" s="8">
        <f>AVERAGE(J12/7)</f>
        <v>29.285714285714285</v>
      </c>
      <c r="L11" s="190">
        <f t="shared" si="3"/>
        <v>727.23214285714278</v>
      </c>
      <c r="M11" s="191"/>
      <c r="N11" s="192" t="s">
        <v>57</v>
      </c>
      <c r="O11" s="193"/>
      <c r="P11" s="154" t="s">
        <v>83</v>
      </c>
      <c r="T11" t="s">
        <v>56</v>
      </c>
    </row>
    <row r="12" spans="1:86" x14ac:dyDescent="0.25">
      <c r="A12" s="154"/>
      <c r="B12" s="3"/>
      <c r="C12" s="4">
        <v>0</v>
      </c>
      <c r="D12" s="5">
        <f t="shared" si="0"/>
        <v>57.56547619047619</v>
      </c>
      <c r="E12" s="5">
        <f t="shared" si="4"/>
        <v>0</v>
      </c>
      <c r="F12" s="5">
        <v>0</v>
      </c>
      <c r="G12" s="6">
        <f t="shared" si="5"/>
        <v>0</v>
      </c>
      <c r="H12" s="184">
        <f>SUM(H4:I11)</f>
        <v>0</v>
      </c>
      <c r="I12" s="185"/>
      <c r="J12" s="165">
        <f>SUM(J4:J11)</f>
        <v>205</v>
      </c>
      <c r="K12" s="165">
        <f>SUM(K4:K11)</f>
        <v>204.99999999999997</v>
      </c>
      <c r="L12" s="184">
        <f>SUM(L4:M11)</f>
        <v>0</v>
      </c>
      <c r="M12" s="185"/>
      <c r="N12" s="186"/>
      <c r="O12" s="187"/>
    </row>
    <row r="13" spans="1:86" x14ac:dyDescent="0.25">
      <c r="A13" s="154"/>
      <c r="B13" s="9" t="s">
        <v>9</v>
      </c>
      <c r="C13" s="10">
        <f>SUM(C4:C12)</f>
        <v>168</v>
      </c>
      <c r="D13" s="11">
        <f>SUM(D4:D12)</f>
        <v>518.08928571428578</v>
      </c>
      <c r="E13" s="11">
        <f>SUM(E4:E12)</f>
        <v>9671</v>
      </c>
      <c r="F13" s="11">
        <f>SUM(F4:F12)</f>
        <v>9671</v>
      </c>
      <c r="G13" s="12">
        <f>SUM(G4:G12)</f>
        <v>2.2737367544323206E-13</v>
      </c>
      <c r="H13" s="154"/>
      <c r="I13" s="154"/>
      <c r="J13" s="152"/>
      <c r="K13" s="152"/>
      <c r="L13" s="154"/>
      <c r="M13" s="154"/>
      <c r="N13" s="154"/>
      <c r="O13" s="154"/>
    </row>
    <row r="14" spans="1:86" x14ac:dyDescent="0.25">
      <c r="A14" s="154"/>
      <c r="B14" s="154"/>
      <c r="C14" s="155"/>
      <c r="D14" s="155"/>
      <c r="E14" s="155"/>
      <c r="F14" s="155"/>
      <c r="G14" s="155"/>
      <c r="H14" s="154"/>
      <c r="I14" s="154"/>
      <c r="J14" s="154"/>
      <c r="K14" s="154"/>
      <c r="L14" s="154"/>
      <c r="M14" s="154"/>
      <c r="N14" s="154"/>
      <c r="O14" s="154"/>
    </row>
    <row r="15" spans="1:86" s="177" customFormat="1" ht="15" customHeight="1" x14ac:dyDescent="0.25">
      <c r="A15" s="181"/>
      <c r="B15" s="181"/>
      <c r="C15" s="183"/>
      <c r="D15" s="183"/>
      <c r="E15" s="183"/>
      <c r="F15" s="183"/>
      <c r="G15" s="183"/>
      <c r="H15" s="203" t="s">
        <v>82</v>
      </c>
      <c r="I15" s="204"/>
      <c r="J15" s="204"/>
      <c r="K15" s="204"/>
      <c r="L15" s="205"/>
      <c r="M15" s="181"/>
      <c r="N15" s="181"/>
      <c r="O15" s="181"/>
      <c r="P15" s="181"/>
    </row>
    <row r="16" spans="1:86" s="177" customFormat="1" ht="15" customHeight="1" x14ac:dyDescent="0.25">
      <c r="A16" s="181"/>
      <c r="B16" s="209" t="s">
        <v>0</v>
      </c>
      <c r="C16" s="211" t="s">
        <v>81</v>
      </c>
      <c r="D16" s="212"/>
      <c r="E16" s="212"/>
      <c r="F16" s="212"/>
      <c r="G16" s="213"/>
      <c r="H16" s="206"/>
      <c r="I16" s="207"/>
      <c r="J16" s="207"/>
      <c r="K16" s="207"/>
      <c r="L16" s="208"/>
      <c r="M16" s="181"/>
      <c r="N16" s="181"/>
      <c r="O16" s="181"/>
      <c r="P16" s="181"/>
    </row>
    <row r="17" spans="1:86" s="177" customFormat="1" x14ac:dyDescent="0.25">
      <c r="A17" s="181"/>
      <c r="B17" s="210"/>
      <c r="C17" s="2" t="s">
        <v>1</v>
      </c>
      <c r="D17" s="2" t="s">
        <v>2</v>
      </c>
      <c r="E17" s="2" t="s">
        <v>3</v>
      </c>
      <c r="F17" s="2" t="s">
        <v>4</v>
      </c>
      <c r="G17" s="156" t="s">
        <v>5</v>
      </c>
      <c r="H17" s="214" t="s">
        <v>44</v>
      </c>
      <c r="I17" s="215"/>
      <c r="J17" s="180" t="s">
        <v>42</v>
      </c>
      <c r="K17" s="8" t="s">
        <v>43</v>
      </c>
      <c r="L17" s="216" t="s">
        <v>5</v>
      </c>
      <c r="M17" s="217"/>
      <c r="N17" s="201" t="s">
        <v>45</v>
      </c>
      <c r="O17" s="202"/>
      <c r="P17" s="181"/>
    </row>
    <row r="18" spans="1:86" s="177" customFormat="1" ht="15.75" x14ac:dyDescent="0.25">
      <c r="A18" s="181"/>
      <c r="B18" s="3" t="s">
        <v>72</v>
      </c>
      <c r="C18" s="121">
        <v>8</v>
      </c>
      <c r="D18" s="5">
        <f t="shared" ref="D18:D26" si="7">$F$13/$C$13</f>
        <v>57.56547619047619</v>
      </c>
      <c r="E18" s="5">
        <f>C18*D18</f>
        <v>460.52380952380952</v>
      </c>
      <c r="F18" s="5">
        <v>850</v>
      </c>
      <c r="G18" s="79">
        <f>F18-E18</f>
        <v>389.47619047619048</v>
      </c>
      <c r="H18" s="194">
        <f t="shared" ref="H18:H24" si="8">G18</f>
        <v>389.47619047619048</v>
      </c>
      <c r="I18" s="189"/>
      <c r="J18" s="180">
        <v>0</v>
      </c>
      <c r="K18" s="8">
        <f>AVERAGE(J26/7)</f>
        <v>8.5714285714285712</v>
      </c>
      <c r="L18" s="190">
        <f>SUM(H18,J18)-K18</f>
        <v>380.90476190476193</v>
      </c>
      <c r="M18" s="191"/>
      <c r="N18" s="192" t="s">
        <v>57</v>
      </c>
      <c r="O18" s="193"/>
      <c r="P18" s="181"/>
    </row>
    <row r="19" spans="1:86" s="177" customFormat="1" ht="15.75" x14ac:dyDescent="0.25">
      <c r="A19" s="181"/>
      <c r="B19" s="3" t="s">
        <v>67</v>
      </c>
      <c r="C19" s="123">
        <v>48</v>
      </c>
      <c r="D19" s="5">
        <f t="shared" si="7"/>
        <v>57.56547619047619</v>
      </c>
      <c r="E19" s="5">
        <f>C19*D19</f>
        <v>2763.1428571428569</v>
      </c>
      <c r="F19" s="5">
        <v>2080</v>
      </c>
      <c r="G19" s="79">
        <f>F19-E19</f>
        <v>-683.14285714285688</v>
      </c>
      <c r="H19" s="194">
        <f t="shared" si="8"/>
        <v>-683.14285714285688</v>
      </c>
      <c r="I19" s="189"/>
      <c r="J19" s="180">
        <v>0</v>
      </c>
      <c r="K19" s="8">
        <f>AVERAGE(J26/7)</f>
        <v>8.5714285714285712</v>
      </c>
      <c r="L19" s="190">
        <f t="shared" ref="L19:L22" si="9">SUM(H19,J19)-K19</f>
        <v>-691.71428571428544</v>
      </c>
      <c r="M19" s="191"/>
      <c r="N19" s="192" t="s">
        <v>57</v>
      </c>
      <c r="O19" s="193"/>
      <c r="P19" s="181" t="s">
        <v>83</v>
      </c>
      <c r="AH19" s="177">
        <f>SUM(C19:AG19)</f>
        <v>2899.2797619047624</v>
      </c>
    </row>
    <row r="20" spans="1:86" s="177" customFormat="1" ht="15.75" x14ac:dyDescent="0.25">
      <c r="A20" s="181"/>
      <c r="B20" s="3" t="s">
        <v>68</v>
      </c>
      <c r="C20" s="126">
        <v>41</v>
      </c>
      <c r="D20" s="5">
        <f t="shared" si="7"/>
        <v>57.56547619047619</v>
      </c>
      <c r="E20" s="5">
        <f>C20*D20</f>
        <v>2360.1845238095239</v>
      </c>
      <c r="F20" s="5">
        <v>2170</v>
      </c>
      <c r="G20" s="79">
        <f>F20-E20</f>
        <v>-190.18452380952385</v>
      </c>
      <c r="H20" s="194">
        <f t="shared" si="8"/>
        <v>-190.18452380952385</v>
      </c>
      <c r="I20" s="189"/>
      <c r="J20" s="180">
        <v>0</v>
      </c>
      <c r="K20" s="8">
        <f>AVERAGE(J26/7)</f>
        <v>8.5714285714285712</v>
      </c>
      <c r="L20" s="190">
        <f t="shared" si="9"/>
        <v>-198.75595238095244</v>
      </c>
      <c r="M20" s="191"/>
      <c r="N20" s="192" t="s">
        <v>57</v>
      </c>
      <c r="O20" s="193"/>
      <c r="P20" s="181" t="s">
        <v>83</v>
      </c>
    </row>
    <row r="21" spans="1:86" s="148" customFormat="1" ht="15" hidden="1" customHeight="1" x14ac:dyDescent="0.25">
      <c r="A21" s="181"/>
      <c r="B21" s="144" t="s">
        <v>47</v>
      </c>
      <c r="C21" s="145">
        <v>0</v>
      </c>
      <c r="D21" s="146">
        <f t="shared" si="7"/>
        <v>57.56547619047619</v>
      </c>
      <c r="E21" s="146">
        <f t="shared" ref="E21" si="10">C21*D21</f>
        <v>0</v>
      </c>
      <c r="F21" s="146">
        <v>0</v>
      </c>
      <c r="G21" s="179">
        <f>F21-E21</f>
        <v>0</v>
      </c>
      <c r="H21" s="195">
        <f t="shared" si="8"/>
        <v>0</v>
      </c>
      <c r="I21" s="196"/>
      <c r="J21" s="147">
        <v>0</v>
      </c>
      <c r="K21" s="145"/>
      <c r="L21" s="197">
        <f t="shared" si="9"/>
        <v>0</v>
      </c>
      <c r="M21" s="198"/>
      <c r="N21" s="199" t="s">
        <v>57</v>
      </c>
      <c r="O21" s="200"/>
      <c r="P21" s="181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/>
      <c r="BV21" s="177"/>
      <c r="BW21" s="177"/>
      <c r="BX21" s="177"/>
      <c r="BY21" s="177"/>
      <c r="BZ21" s="177"/>
      <c r="CA21" s="177"/>
      <c r="CB21" s="177"/>
      <c r="CC21" s="177"/>
      <c r="CD21" s="177"/>
      <c r="CE21" s="177"/>
      <c r="CF21" s="177"/>
      <c r="CG21" s="177"/>
      <c r="CH21" s="177"/>
    </row>
    <row r="22" spans="1:86" s="177" customFormat="1" ht="15" customHeight="1" x14ac:dyDescent="0.25">
      <c r="A22" s="181"/>
      <c r="B22" s="3" t="s">
        <v>69</v>
      </c>
      <c r="C22" s="132">
        <v>10</v>
      </c>
      <c r="D22" s="5">
        <f t="shared" si="7"/>
        <v>57.56547619047619</v>
      </c>
      <c r="E22" s="5">
        <f>C22*D22</f>
        <v>575.65476190476193</v>
      </c>
      <c r="F22" s="5">
        <v>670</v>
      </c>
      <c r="G22" s="79">
        <f>F22-E22</f>
        <v>94.345238095238074</v>
      </c>
      <c r="H22" s="194">
        <f t="shared" si="8"/>
        <v>94.345238095238074</v>
      </c>
      <c r="I22" s="189"/>
      <c r="J22" s="180">
        <v>0</v>
      </c>
      <c r="K22" s="8">
        <f>AVERAGE(J26/7)</f>
        <v>8.5714285714285712</v>
      </c>
      <c r="L22" s="190">
        <f t="shared" si="9"/>
        <v>85.773809523809504</v>
      </c>
      <c r="M22" s="191"/>
      <c r="N22" s="192" t="s">
        <v>57</v>
      </c>
      <c r="O22" s="193"/>
      <c r="P22" s="181"/>
    </row>
    <row r="23" spans="1:86" s="177" customFormat="1" ht="15" customHeight="1" x14ac:dyDescent="0.25">
      <c r="A23" s="181"/>
      <c r="B23" s="3" t="s">
        <v>70</v>
      </c>
      <c r="C23" s="166">
        <v>20</v>
      </c>
      <c r="D23" s="5">
        <f t="shared" si="7"/>
        <v>57.56547619047619</v>
      </c>
      <c r="E23" s="5">
        <f t="shared" ref="E23:E26" si="11">C23*D23</f>
        <v>1151.3095238095239</v>
      </c>
      <c r="F23" s="5">
        <v>850</v>
      </c>
      <c r="G23" s="6">
        <f t="shared" ref="G23" si="12">F23-E23</f>
        <v>-301.30952380952385</v>
      </c>
      <c r="H23" s="188">
        <f t="shared" si="8"/>
        <v>-301.30952380952385</v>
      </c>
      <c r="I23" s="189"/>
      <c r="J23" s="180">
        <v>0</v>
      </c>
      <c r="K23" s="8">
        <f>AVERAGE(J26/7)</f>
        <v>8.5714285714285712</v>
      </c>
      <c r="L23" s="190">
        <f>SUM(H23,J23)-K23</f>
        <v>-309.88095238095241</v>
      </c>
      <c r="M23" s="191"/>
      <c r="N23" s="192" t="s">
        <v>57</v>
      </c>
      <c r="O23" s="193"/>
      <c r="P23" s="181"/>
      <c r="R23" s="177" t="s">
        <v>59</v>
      </c>
    </row>
    <row r="24" spans="1:86" s="177" customFormat="1" ht="15" customHeight="1" x14ac:dyDescent="0.25">
      <c r="A24" s="181"/>
      <c r="B24" s="3" t="s">
        <v>71</v>
      </c>
      <c r="C24" s="104">
        <v>29</v>
      </c>
      <c r="D24" s="5">
        <f t="shared" si="7"/>
        <v>57.56547619047619</v>
      </c>
      <c r="E24" s="5">
        <f t="shared" si="11"/>
        <v>1669.3988095238094</v>
      </c>
      <c r="F24" s="5">
        <v>2145</v>
      </c>
      <c r="G24" s="6">
        <f>F24-E24</f>
        <v>475.6011904761906</v>
      </c>
      <c r="H24" s="188">
        <f t="shared" si="8"/>
        <v>475.6011904761906</v>
      </c>
      <c r="I24" s="189"/>
      <c r="J24" s="180">
        <v>60</v>
      </c>
      <c r="K24" s="8">
        <f>AVERAGE(J26/7)</f>
        <v>8.5714285714285712</v>
      </c>
      <c r="L24" s="190">
        <f>SUM(H24,J24)-K24</f>
        <v>527.02976190476204</v>
      </c>
      <c r="M24" s="191"/>
      <c r="N24" s="192" t="s">
        <v>57</v>
      </c>
      <c r="O24" s="193"/>
      <c r="P24" s="181" t="s">
        <v>83</v>
      </c>
    </row>
    <row r="25" spans="1:86" s="177" customFormat="1" ht="15" customHeight="1" x14ac:dyDescent="0.25">
      <c r="A25" s="181"/>
      <c r="B25" s="3" t="s">
        <v>75</v>
      </c>
      <c r="C25" s="4">
        <v>13</v>
      </c>
      <c r="D25" s="5">
        <f t="shared" si="7"/>
        <v>57.56547619047619</v>
      </c>
      <c r="E25" s="5">
        <f t="shared" si="11"/>
        <v>748.35119047619048</v>
      </c>
      <c r="F25" s="5">
        <v>660</v>
      </c>
      <c r="G25" s="6">
        <f>F25-E25</f>
        <v>-88.351190476190482</v>
      </c>
      <c r="H25" s="188">
        <f>G25</f>
        <v>-88.351190476190482</v>
      </c>
      <c r="I25" s="189"/>
      <c r="J25" s="180">
        <v>0</v>
      </c>
      <c r="K25" s="8">
        <f>AVERAGE(J26/7)</f>
        <v>8.5714285714285712</v>
      </c>
      <c r="L25" s="190">
        <f t="shared" ref="L25" si="13">SUM(H25,J25)-K25</f>
        <v>-96.922619047619051</v>
      </c>
      <c r="M25" s="191"/>
      <c r="N25" s="192" t="s">
        <v>57</v>
      </c>
      <c r="O25" s="193"/>
      <c r="P25" s="181"/>
      <c r="T25" s="177" t="s">
        <v>56</v>
      </c>
    </row>
    <row r="26" spans="1:86" s="177" customFormat="1" x14ac:dyDescent="0.25">
      <c r="A26" s="181"/>
      <c r="B26" s="3"/>
      <c r="C26" s="4">
        <v>0</v>
      </c>
      <c r="D26" s="5">
        <f t="shared" si="7"/>
        <v>57.56547619047619</v>
      </c>
      <c r="E26" s="5">
        <f t="shared" si="11"/>
        <v>0</v>
      </c>
      <c r="F26" s="5">
        <v>0</v>
      </c>
      <c r="G26" s="6">
        <f t="shared" ref="G26" si="14">F26-E26</f>
        <v>0</v>
      </c>
      <c r="H26" s="184">
        <f>SUM(H18:I25)</f>
        <v>-303.56547619047592</v>
      </c>
      <c r="I26" s="185"/>
      <c r="J26" s="178">
        <f>SUM(J18:J25)</f>
        <v>60</v>
      </c>
      <c r="K26" s="178">
        <f>SUM(K18:K25)</f>
        <v>59.999999999999993</v>
      </c>
      <c r="L26" s="184">
        <f>SUM(L18:M25)</f>
        <v>-303.56547619047581</v>
      </c>
      <c r="M26" s="185"/>
      <c r="N26" s="186"/>
      <c r="O26" s="187"/>
      <c r="P26" s="181"/>
    </row>
    <row r="27" spans="1:86" s="177" customFormat="1" x14ac:dyDescent="0.25">
      <c r="A27" s="181"/>
      <c r="B27" s="9" t="s">
        <v>9</v>
      </c>
      <c r="C27" s="10">
        <f>SUM(C18:C26)</f>
        <v>169</v>
      </c>
      <c r="D27" s="11">
        <f>SUM(D18:D26)</f>
        <v>518.08928571428578</v>
      </c>
      <c r="E27" s="11">
        <f>SUM(E18:E26)</f>
        <v>9728.5654761904771</v>
      </c>
      <c r="F27" s="11">
        <f>SUM(F18:F26)</f>
        <v>9425</v>
      </c>
      <c r="G27" s="12">
        <f>SUM(G18:G26)</f>
        <v>-303.56547619047592</v>
      </c>
      <c r="H27" s="181"/>
      <c r="I27" s="181"/>
      <c r="J27" s="182"/>
      <c r="K27" s="182"/>
      <c r="L27" s="181"/>
      <c r="M27" s="181"/>
      <c r="N27" s="181"/>
      <c r="O27" s="181"/>
      <c r="P27" s="181"/>
    </row>
    <row r="28" spans="1:86" ht="15.75" customHeight="1" x14ac:dyDescent="0.25">
      <c r="A28" s="181"/>
      <c r="B28" s="181"/>
      <c r="C28" s="183"/>
      <c r="D28" s="183"/>
      <c r="E28" s="183"/>
      <c r="F28" s="183"/>
      <c r="G28" s="183"/>
      <c r="H28" s="181"/>
      <c r="I28" s="181"/>
      <c r="J28" s="181"/>
      <c r="K28" s="181"/>
      <c r="L28" s="181"/>
      <c r="M28" s="181"/>
      <c r="N28" s="181"/>
      <c r="O28" s="181"/>
      <c r="P28" s="181"/>
    </row>
    <row r="29" spans="1:86" ht="15.75" customHeight="1" x14ac:dyDescent="0.25">
      <c r="C29" s="1"/>
      <c r="D29" s="1"/>
      <c r="E29" s="1"/>
      <c r="F29" s="1"/>
      <c r="G29" s="1"/>
    </row>
    <row r="30" spans="1:86" ht="15.75" customHeight="1" x14ac:dyDescent="0.25">
      <c r="C30" s="1"/>
      <c r="D30" s="1"/>
      <c r="E30" s="1"/>
      <c r="F30" s="1"/>
      <c r="G30" s="1"/>
    </row>
    <row r="31" spans="1:86" ht="15.75" customHeight="1" x14ac:dyDescent="0.25">
      <c r="C31" s="1"/>
      <c r="D31" s="1"/>
      <c r="E31" s="1"/>
      <c r="F31" s="1"/>
      <c r="G31" s="1"/>
    </row>
    <row r="32" spans="1:86" ht="15.75" customHeight="1" x14ac:dyDescent="0.25">
      <c r="C32" s="1"/>
      <c r="D32" s="1"/>
      <c r="E32" s="1"/>
      <c r="F32" s="1"/>
      <c r="G32" s="1"/>
    </row>
    <row r="33" spans="3:7" ht="15.75" customHeight="1" x14ac:dyDescent="0.25">
      <c r="C33" s="1"/>
      <c r="D33" s="1"/>
      <c r="E33" s="1"/>
      <c r="F33" s="1"/>
      <c r="G33" s="1"/>
    </row>
    <row r="34" spans="3:7" ht="15.75" customHeight="1" x14ac:dyDescent="0.25">
      <c r="C34" s="1"/>
      <c r="D34" s="1"/>
      <c r="E34" s="1"/>
      <c r="F34" s="1"/>
      <c r="G34" s="1"/>
    </row>
    <row r="35" spans="3:7" ht="15.75" customHeight="1" x14ac:dyDescent="0.25">
      <c r="C35" s="1"/>
      <c r="D35" s="1"/>
      <c r="E35" s="1"/>
      <c r="F35" s="1"/>
      <c r="G35" s="1"/>
    </row>
    <row r="36" spans="3:7" ht="15.75" customHeight="1" x14ac:dyDescent="0.25">
      <c r="C36" s="1"/>
      <c r="D36" s="1"/>
      <c r="E36" s="1"/>
      <c r="F36" s="1"/>
      <c r="G36" s="1"/>
    </row>
    <row r="37" spans="3:7" ht="15.75" customHeight="1" x14ac:dyDescent="0.25">
      <c r="C37" s="1"/>
      <c r="D37" s="1"/>
      <c r="E37" s="1"/>
      <c r="F37" s="1"/>
      <c r="G37" s="1"/>
    </row>
    <row r="38" spans="3:7" ht="15.75" customHeight="1" x14ac:dyDescent="0.25">
      <c r="C38" s="1"/>
      <c r="D38" s="1"/>
      <c r="E38" s="1"/>
      <c r="F38" s="1"/>
      <c r="G38" s="1"/>
    </row>
    <row r="39" spans="3:7" ht="15.75" customHeight="1" x14ac:dyDescent="0.25">
      <c r="C39" s="1"/>
      <c r="D39" s="1"/>
      <c r="E39" s="1"/>
      <c r="F39" s="1"/>
      <c r="G39" s="1"/>
    </row>
    <row r="40" spans="3:7" ht="15.75" customHeight="1" x14ac:dyDescent="0.25">
      <c r="C40" s="1"/>
      <c r="D40" s="1"/>
      <c r="E40" s="1"/>
      <c r="F40" s="1"/>
      <c r="G40" s="1"/>
    </row>
    <row r="41" spans="3:7" ht="15.75" customHeight="1" x14ac:dyDescent="0.25">
      <c r="C41" s="1"/>
      <c r="D41" s="1"/>
      <c r="E41" s="1"/>
      <c r="F41" s="1"/>
      <c r="G41" s="1"/>
    </row>
    <row r="42" spans="3:7" ht="15.75" customHeight="1" x14ac:dyDescent="0.25">
      <c r="C42" s="1"/>
      <c r="D42" s="1"/>
      <c r="E42" s="1"/>
      <c r="F42" s="1"/>
      <c r="G42" s="1"/>
    </row>
    <row r="43" spans="3:7" ht="15.75" customHeight="1" x14ac:dyDescent="0.25">
      <c r="C43" s="1"/>
      <c r="D43" s="1"/>
      <c r="E43" s="1"/>
      <c r="F43" s="1"/>
      <c r="G43" s="1"/>
    </row>
    <row r="44" spans="3:7" ht="15.75" customHeight="1" x14ac:dyDescent="0.25">
      <c r="C44" s="1"/>
      <c r="D44" s="1"/>
      <c r="E44" s="1"/>
      <c r="F44" s="1"/>
      <c r="G44" s="1"/>
    </row>
    <row r="45" spans="3:7" ht="15.75" customHeight="1" x14ac:dyDescent="0.25">
      <c r="C45" s="1"/>
      <c r="D45" s="1"/>
      <c r="E45" s="1"/>
      <c r="F45" s="1"/>
      <c r="G45" s="1"/>
    </row>
    <row r="46" spans="3:7" ht="15.75" customHeight="1" x14ac:dyDescent="0.25">
      <c r="C46" s="1"/>
      <c r="D46" s="1"/>
      <c r="E46" s="1"/>
      <c r="F46" s="1"/>
      <c r="G46" s="1"/>
    </row>
    <row r="47" spans="3:7" ht="15.75" customHeight="1" x14ac:dyDescent="0.25">
      <c r="C47" s="1"/>
      <c r="D47" s="1"/>
      <c r="E47" s="1"/>
      <c r="F47" s="1"/>
      <c r="G47" s="1"/>
    </row>
    <row r="48" spans="3:7" ht="15.75" customHeight="1" x14ac:dyDescent="0.25">
      <c r="C48" s="1"/>
      <c r="D48" s="1"/>
      <c r="E48" s="1"/>
      <c r="F48" s="1"/>
      <c r="G48" s="1"/>
    </row>
    <row r="49" spans="3:7" ht="15.75" customHeight="1" x14ac:dyDescent="0.25">
      <c r="C49" s="1"/>
      <c r="D49" s="1"/>
      <c r="E49" s="1"/>
      <c r="F49" s="1"/>
      <c r="G49" s="1"/>
    </row>
    <row r="50" spans="3:7" ht="15.75" customHeight="1" x14ac:dyDescent="0.25">
      <c r="C50" s="1"/>
      <c r="D50" s="1"/>
      <c r="E50" s="1"/>
      <c r="F50" s="1"/>
      <c r="G50" s="1"/>
    </row>
    <row r="51" spans="3:7" ht="15.75" customHeight="1" x14ac:dyDescent="0.25">
      <c r="C51" s="1"/>
      <c r="D51" s="1"/>
      <c r="E51" s="1"/>
      <c r="F51" s="1"/>
      <c r="G51" s="1"/>
    </row>
    <row r="52" spans="3:7" ht="15.75" customHeight="1" x14ac:dyDescent="0.25">
      <c r="C52" s="1"/>
      <c r="D52" s="1"/>
      <c r="E52" s="1"/>
      <c r="F52" s="1"/>
      <c r="G52" s="1"/>
    </row>
    <row r="53" spans="3:7" ht="15.75" customHeight="1" x14ac:dyDescent="0.25">
      <c r="C53" s="1"/>
      <c r="D53" s="1"/>
      <c r="E53" s="1"/>
      <c r="F53" s="1"/>
      <c r="G53" s="1"/>
    </row>
    <row r="54" spans="3:7" ht="15.75" customHeight="1" x14ac:dyDescent="0.25">
      <c r="C54" s="1"/>
      <c r="D54" s="1"/>
      <c r="E54" s="1"/>
      <c r="F54" s="1"/>
      <c r="G54" s="1"/>
    </row>
    <row r="55" spans="3:7" ht="15.75" customHeight="1" x14ac:dyDescent="0.25">
      <c r="C55" s="1"/>
      <c r="D55" s="1"/>
      <c r="E55" s="1"/>
      <c r="F55" s="1"/>
      <c r="G55" s="1"/>
    </row>
    <row r="56" spans="3:7" ht="15.75" customHeight="1" x14ac:dyDescent="0.25">
      <c r="C56" s="1"/>
      <c r="D56" s="1"/>
      <c r="E56" s="1"/>
      <c r="F56" s="1"/>
      <c r="G56" s="1"/>
    </row>
    <row r="57" spans="3:7" ht="15.75" customHeight="1" x14ac:dyDescent="0.25">
      <c r="C57" s="1"/>
      <c r="D57" s="1"/>
      <c r="E57" s="1"/>
      <c r="F57" s="1"/>
      <c r="G57" s="1"/>
    </row>
    <row r="58" spans="3:7" ht="15.75" customHeight="1" x14ac:dyDescent="0.25">
      <c r="C58" s="1"/>
      <c r="D58" s="1"/>
      <c r="E58" s="1"/>
      <c r="F58" s="1"/>
      <c r="G58" s="1"/>
    </row>
    <row r="59" spans="3:7" ht="15.75" customHeight="1" x14ac:dyDescent="0.25">
      <c r="C59" s="1"/>
      <c r="D59" s="1"/>
      <c r="E59" s="1"/>
      <c r="F59" s="1"/>
      <c r="G59" s="1"/>
    </row>
    <row r="60" spans="3:7" ht="15.75" customHeight="1" x14ac:dyDescent="0.25">
      <c r="C60" s="1"/>
      <c r="D60" s="1"/>
      <c r="E60" s="1"/>
      <c r="F60" s="1"/>
      <c r="G60" s="1"/>
    </row>
    <row r="61" spans="3:7" ht="15.75" customHeight="1" x14ac:dyDescent="0.25">
      <c r="C61" s="1"/>
      <c r="D61" s="1"/>
      <c r="E61" s="1"/>
      <c r="F61" s="1"/>
      <c r="G61" s="1"/>
    </row>
    <row r="62" spans="3:7" ht="15.75" customHeight="1" x14ac:dyDescent="0.25">
      <c r="C62" s="1"/>
      <c r="D62" s="1"/>
      <c r="E62" s="1"/>
      <c r="F62" s="1"/>
      <c r="G62" s="1"/>
    </row>
    <row r="63" spans="3:7" ht="15.75" customHeight="1" x14ac:dyDescent="0.25">
      <c r="C63" s="1"/>
      <c r="D63" s="1"/>
      <c r="E63" s="1"/>
      <c r="F63" s="1"/>
      <c r="G63" s="1"/>
    </row>
    <row r="64" spans="3:7" ht="15.75" customHeight="1" x14ac:dyDescent="0.25">
      <c r="C64" s="1"/>
      <c r="D64" s="1"/>
      <c r="E64" s="1"/>
      <c r="F64" s="1"/>
      <c r="G64" s="1"/>
    </row>
    <row r="65" spans="3:7" ht="15.75" customHeight="1" x14ac:dyDescent="0.25">
      <c r="C65" s="1"/>
      <c r="D65" s="1"/>
      <c r="E65" s="1"/>
      <c r="F65" s="1"/>
      <c r="G65" s="1"/>
    </row>
    <row r="66" spans="3:7" ht="15.75" customHeight="1" x14ac:dyDescent="0.25">
      <c r="C66" s="1"/>
      <c r="D66" s="1"/>
      <c r="E66" s="1"/>
      <c r="F66" s="1"/>
      <c r="G66" s="1"/>
    </row>
    <row r="67" spans="3:7" ht="15.75" customHeight="1" x14ac:dyDescent="0.25">
      <c r="C67" s="1"/>
      <c r="D67" s="1"/>
      <c r="E67" s="1"/>
      <c r="F67" s="1"/>
      <c r="G67" s="1"/>
    </row>
    <row r="68" spans="3:7" ht="15.75" customHeight="1" x14ac:dyDescent="0.25">
      <c r="C68" s="1"/>
      <c r="D68" s="1"/>
      <c r="E68" s="1"/>
      <c r="F68" s="1"/>
      <c r="G68" s="1"/>
    </row>
    <row r="69" spans="3:7" ht="15.75" customHeight="1" x14ac:dyDescent="0.25">
      <c r="C69" s="1"/>
      <c r="D69" s="1"/>
      <c r="E69" s="1"/>
      <c r="F69" s="1"/>
      <c r="G69" s="1"/>
    </row>
    <row r="70" spans="3:7" ht="15.75" customHeight="1" x14ac:dyDescent="0.25">
      <c r="C70" s="1"/>
      <c r="D70" s="1"/>
      <c r="E70" s="1"/>
      <c r="F70" s="1"/>
      <c r="G70" s="1"/>
    </row>
    <row r="71" spans="3:7" ht="15.75" customHeight="1" x14ac:dyDescent="0.25">
      <c r="C71" s="1"/>
      <c r="D71" s="1"/>
      <c r="E71" s="1"/>
      <c r="F71" s="1"/>
      <c r="G71" s="1"/>
    </row>
    <row r="72" spans="3:7" ht="15.75" customHeight="1" x14ac:dyDescent="0.25">
      <c r="C72" s="1"/>
      <c r="D72" s="1"/>
      <c r="E72" s="1"/>
      <c r="F72" s="1"/>
      <c r="G72" s="1"/>
    </row>
    <row r="73" spans="3:7" ht="15.75" customHeight="1" x14ac:dyDescent="0.25">
      <c r="C73" s="1"/>
      <c r="D73" s="1"/>
      <c r="E73" s="1"/>
      <c r="F73" s="1"/>
      <c r="G73" s="1"/>
    </row>
    <row r="74" spans="3:7" ht="15.75" customHeight="1" x14ac:dyDescent="0.25">
      <c r="C74" s="1"/>
      <c r="D74" s="1"/>
      <c r="E74" s="1"/>
      <c r="F74" s="1"/>
      <c r="G74" s="1"/>
    </row>
    <row r="75" spans="3:7" ht="15.75" customHeight="1" x14ac:dyDescent="0.25">
      <c r="C75" s="1"/>
      <c r="D75" s="1"/>
      <c r="E75" s="1"/>
      <c r="F75" s="1"/>
      <c r="G75" s="1"/>
    </row>
    <row r="76" spans="3:7" ht="15.75" customHeight="1" x14ac:dyDescent="0.25">
      <c r="C76" s="1"/>
      <c r="D76" s="1"/>
      <c r="E76" s="1"/>
      <c r="F76" s="1"/>
      <c r="G76" s="1"/>
    </row>
    <row r="77" spans="3:7" ht="15.75" customHeight="1" x14ac:dyDescent="0.25">
      <c r="C77" s="1"/>
      <c r="D77" s="1"/>
      <c r="E77" s="1"/>
      <c r="F77" s="1"/>
      <c r="G77" s="1"/>
    </row>
    <row r="78" spans="3:7" ht="15.75" customHeight="1" x14ac:dyDescent="0.25">
      <c r="C78" s="1"/>
      <c r="D78" s="1"/>
      <c r="E78" s="1"/>
      <c r="F78" s="1"/>
      <c r="G78" s="1"/>
    </row>
    <row r="79" spans="3:7" ht="15.75" customHeight="1" x14ac:dyDescent="0.25">
      <c r="C79" s="1"/>
      <c r="D79" s="1"/>
      <c r="E79" s="1"/>
      <c r="F79" s="1"/>
      <c r="G79" s="1"/>
    </row>
    <row r="80" spans="3:7" ht="15.75" customHeight="1" x14ac:dyDescent="0.25">
      <c r="C80" s="1"/>
      <c r="D80" s="1"/>
      <c r="E80" s="1"/>
      <c r="F80" s="1"/>
      <c r="G80" s="1"/>
    </row>
    <row r="81" spans="3:7" ht="15.75" customHeight="1" x14ac:dyDescent="0.25">
      <c r="C81" s="1"/>
      <c r="D81" s="1"/>
      <c r="E81" s="1"/>
      <c r="F81" s="1"/>
      <c r="G81" s="1"/>
    </row>
    <row r="82" spans="3:7" ht="15.75" customHeight="1" x14ac:dyDescent="0.25">
      <c r="C82" s="1"/>
      <c r="D82" s="1"/>
      <c r="E82" s="1"/>
      <c r="F82" s="1"/>
      <c r="G82" s="1"/>
    </row>
    <row r="83" spans="3:7" ht="15.75" customHeight="1" x14ac:dyDescent="0.25">
      <c r="C83" s="1"/>
      <c r="D83" s="1"/>
      <c r="E83" s="1"/>
      <c r="F83" s="1"/>
      <c r="G83" s="1"/>
    </row>
    <row r="84" spans="3:7" ht="15.75" customHeight="1" x14ac:dyDescent="0.25">
      <c r="C84" s="1"/>
      <c r="D84" s="1"/>
      <c r="E84" s="1"/>
      <c r="F84" s="1"/>
      <c r="G84" s="1"/>
    </row>
    <row r="85" spans="3:7" ht="15.75" customHeight="1" x14ac:dyDescent="0.25">
      <c r="C85" s="1"/>
      <c r="D85" s="1"/>
      <c r="E85" s="1"/>
      <c r="F85" s="1"/>
      <c r="G85" s="1"/>
    </row>
    <row r="86" spans="3:7" ht="15.75" customHeight="1" x14ac:dyDescent="0.25">
      <c r="C86" s="1"/>
      <c r="D86" s="1"/>
      <c r="E86" s="1"/>
      <c r="F86" s="1"/>
      <c r="G86" s="1"/>
    </row>
    <row r="87" spans="3:7" ht="15.75" customHeight="1" x14ac:dyDescent="0.25">
      <c r="C87" s="1"/>
      <c r="D87" s="1"/>
      <c r="E87" s="1"/>
      <c r="F87" s="1"/>
      <c r="G87" s="1"/>
    </row>
    <row r="88" spans="3:7" ht="15.75" customHeight="1" x14ac:dyDescent="0.25">
      <c r="C88" s="1"/>
      <c r="D88" s="1"/>
      <c r="E88" s="1"/>
      <c r="F88" s="1"/>
      <c r="G88" s="1"/>
    </row>
    <row r="89" spans="3:7" ht="15.75" customHeight="1" x14ac:dyDescent="0.25">
      <c r="C89" s="1"/>
      <c r="D89" s="1"/>
      <c r="E89" s="1"/>
      <c r="F89" s="1"/>
      <c r="G89" s="1"/>
    </row>
    <row r="90" spans="3:7" ht="15.75" customHeight="1" x14ac:dyDescent="0.25">
      <c r="C90" s="1"/>
      <c r="D90" s="1"/>
      <c r="E90" s="1"/>
      <c r="F90" s="1"/>
      <c r="G90" s="1"/>
    </row>
    <row r="91" spans="3:7" ht="15.75" customHeight="1" x14ac:dyDescent="0.25">
      <c r="C91" s="1"/>
      <c r="D91" s="1"/>
      <c r="E91" s="1"/>
      <c r="F91" s="1"/>
      <c r="G91" s="1"/>
    </row>
    <row r="92" spans="3:7" ht="15.75" customHeight="1" x14ac:dyDescent="0.25">
      <c r="C92" s="1"/>
      <c r="D92" s="1"/>
      <c r="E92" s="1"/>
      <c r="F92" s="1"/>
      <c r="G92" s="1"/>
    </row>
    <row r="93" spans="3:7" ht="15.75" customHeight="1" x14ac:dyDescent="0.25">
      <c r="C93" s="1"/>
      <c r="D93" s="1"/>
      <c r="E93" s="1"/>
      <c r="F93" s="1"/>
      <c r="G93" s="1"/>
    </row>
    <row r="94" spans="3:7" ht="15.75" customHeight="1" x14ac:dyDescent="0.25">
      <c r="C94" s="1"/>
      <c r="D94" s="1"/>
      <c r="E94" s="1"/>
      <c r="F94" s="1"/>
      <c r="G94" s="1"/>
    </row>
    <row r="95" spans="3:7" ht="15.75" customHeight="1" x14ac:dyDescent="0.25">
      <c r="C95" s="1"/>
      <c r="D95" s="1"/>
      <c r="E95" s="1"/>
      <c r="F95" s="1"/>
      <c r="G95" s="1"/>
    </row>
    <row r="96" spans="3:7" ht="15.75" customHeight="1" x14ac:dyDescent="0.25">
      <c r="C96" s="1"/>
      <c r="D96" s="1"/>
      <c r="E96" s="1"/>
      <c r="F96" s="1"/>
      <c r="G96" s="1"/>
    </row>
    <row r="97" spans="3:7" ht="15.75" customHeight="1" x14ac:dyDescent="0.25">
      <c r="C97" s="1"/>
      <c r="D97" s="1"/>
      <c r="E97" s="1"/>
      <c r="F97" s="1"/>
      <c r="G97" s="1"/>
    </row>
    <row r="98" spans="3:7" ht="15.75" customHeight="1" x14ac:dyDescent="0.25">
      <c r="C98" s="1"/>
      <c r="D98" s="1"/>
      <c r="E98" s="1"/>
      <c r="F98" s="1"/>
      <c r="G98" s="1"/>
    </row>
    <row r="99" spans="3:7" ht="15.75" customHeight="1" x14ac:dyDescent="0.25">
      <c r="C99" s="1"/>
      <c r="D99" s="1"/>
      <c r="E99" s="1"/>
      <c r="F99" s="1"/>
      <c r="G99" s="1"/>
    </row>
    <row r="100" spans="3:7" ht="15.75" customHeight="1" x14ac:dyDescent="0.25">
      <c r="C100" s="1"/>
      <c r="D100" s="1"/>
      <c r="E100" s="1"/>
      <c r="F100" s="1"/>
      <c r="G100" s="1"/>
    </row>
    <row r="101" spans="3:7" ht="15.75" customHeight="1" x14ac:dyDescent="0.25">
      <c r="C101" s="1"/>
      <c r="D101" s="1"/>
      <c r="E101" s="1"/>
      <c r="F101" s="1"/>
      <c r="G101" s="1"/>
    </row>
    <row r="102" spans="3:7" ht="15.75" customHeight="1" x14ac:dyDescent="0.25">
      <c r="C102" s="1"/>
      <c r="D102" s="1"/>
      <c r="E102" s="1"/>
      <c r="F102" s="1"/>
      <c r="G102" s="1"/>
    </row>
    <row r="103" spans="3:7" ht="15.75" customHeight="1" x14ac:dyDescent="0.25">
      <c r="C103" s="1"/>
      <c r="D103" s="1"/>
      <c r="E103" s="1"/>
      <c r="F103" s="1"/>
      <c r="G103" s="1"/>
    </row>
    <row r="104" spans="3:7" ht="15.75" customHeight="1" x14ac:dyDescent="0.25">
      <c r="C104" s="1"/>
      <c r="D104" s="1"/>
      <c r="E104" s="1"/>
      <c r="F104" s="1"/>
      <c r="G104" s="1"/>
    </row>
    <row r="105" spans="3:7" ht="15.75" customHeight="1" x14ac:dyDescent="0.25">
      <c r="C105" s="1"/>
      <c r="D105" s="1"/>
      <c r="E105" s="1"/>
      <c r="F105" s="1"/>
      <c r="G105" s="1"/>
    </row>
    <row r="106" spans="3:7" ht="15.75" customHeight="1" x14ac:dyDescent="0.25">
      <c r="C106" s="1"/>
      <c r="D106" s="1"/>
      <c r="E106" s="1"/>
      <c r="F106" s="1"/>
      <c r="G106" s="1"/>
    </row>
    <row r="107" spans="3:7" ht="15.75" customHeight="1" x14ac:dyDescent="0.25">
      <c r="C107" s="1"/>
      <c r="D107" s="1"/>
      <c r="E107" s="1"/>
      <c r="F107" s="1"/>
      <c r="G107" s="1"/>
    </row>
    <row r="108" spans="3:7" ht="15.75" customHeight="1" x14ac:dyDescent="0.25">
      <c r="C108" s="1"/>
      <c r="D108" s="1"/>
      <c r="E108" s="1"/>
      <c r="F108" s="1"/>
      <c r="G108" s="1"/>
    </row>
    <row r="109" spans="3:7" ht="15.75" customHeight="1" x14ac:dyDescent="0.25">
      <c r="C109" s="1"/>
      <c r="D109" s="1"/>
      <c r="E109" s="1"/>
      <c r="F109" s="1"/>
      <c r="G109" s="1"/>
    </row>
    <row r="110" spans="3:7" ht="15.75" customHeight="1" x14ac:dyDescent="0.25">
      <c r="C110" s="1"/>
      <c r="D110" s="1"/>
      <c r="E110" s="1"/>
      <c r="F110" s="1"/>
      <c r="G110" s="1"/>
    </row>
    <row r="111" spans="3:7" ht="15.75" customHeight="1" x14ac:dyDescent="0.25">
      <c r="C111" s="1"/>
      <c r="D111" s="1"/>
      <c r="E111" s="1"/>
      <c r="F111" s="1"/>
      <c r="G111" s="1"/>
    </row>
    <row r="112" spans="3:7" ht="15.75" customHeight="1" x14ac:dyDescent="0.25">
      <c r="C112" s="1"/>
      <c r="D112" s="1"/>
      <c r="E112" s="1"/>
      <c r="F112" s="1"/>
      <c r="G112" s="1"/>
    </row>
    <row r="113" spans="3:7" ht="15.75" customHeight="1" x14ac:dyDescent="0.25">
      <c r="C113" s="1"/>
      <c r="D113" s="1"/>
      <c r="E113" s="1"/>
      <c r="F113" s="1"/>
      <c r="G113" s="1"/>
    </row>
    <row r="114" spans="3:7" ht="15.75" customHeight="1" x14ac:dyDescent="0.25">
      <c r="C114" s="1"/>
      <c r="D114" s="1"/>
      <c r="E114" s="1"/>
      <c r="F114" s="1"/>
      <c r="G114" s="1"/>
    </row>
    <row r="115" spans="3:7" ht="15.75" customHeight="1" x14ac:dyDescent="0.25">
      <c r="C115" s="1"/>
      <c r="D115" s="1"/>
      <c r="E115" s="1"/>
      <c r="F115" s="1"/>
      <c r="G115" s="1"/>
    </row>
    <row r="116" spans="3:7" ht="15.75" customHeight="1" x14ac:dyDescent="0.25">
      <c r="C116" s="1"/>
      <c r="D116" s="1"/>
      <c r="E116" s="1"/>
      <c r="F116" s="1"/>
      <c r="G116" s="1"/>
    </row>
    <row r="117" spans="3:7" ht="15.75" customHeight="1" x14ac:dyDescent="0.25">
      <c r="C117" s="1"/>
      <c r="D117" s="1"/>
      <c r="E117" s="1"/>
      <c r="F117" s="1"/>
      <c r="G117" s="1"/>
    </row>
    <row r="118" spans="3:7" ht="15.75" customHeight="1" x14ac:dyDescent="0.25">
      <c r="C118" s="1"/>
      <c r="D118" s="1"/>
      <c r="E118" s="1"/>
      <c r="F118" s="1"/>
      <c r="G118" s="1"/>
    </row>
    <row r="119" spans="3:7" ht="15.75" customHeight="1" x14ac:dyDescent="0.25">
      <c r="C119" s="1"/>
      <c r="D119" s="1"/>
      <c r="E119" s="1"/>
      <c r="F119" s="1"/>
      <c r="G119" s="1"/>
    </row>
    <row r="120" spans="3:7" ht="15.75" customHeight="1" x14ac:dyDescent="0.25">
      <c r="C120" s="1"/>
      <c r="D120" s="1"/>
      <c r="E120" s="1"/>
      <c r="F120" s="1"/>
      <c r="G120" s="1"/>
    </row>
    <row r="121" spans="3:7" ht="15.75" customHeight="1" x14ac:dyDescent="0.25">
      <c r="C121" s="1"/>
      <c r="D121" s="1"/>
      <c r="E121" s="1"/>
      <c r="F121" s="1"/>
      <c r="G121" s="1"/>
    </row>
    <row r="122" spans="3:7" ht="15.75" customHeight="1" x14ac:dyDescent="0.25">
      <c r="C122" s="1"/>
      <c r="D122" s="1"/>
      <c r="E122" s="1"/>
      <c r="F122" s="1"/>
      <c r="G122" s="1"/>
    </row>
    <row r="123" spans="3:7" ht="15.75" customHeight="1" x14ac:dyDescent="0.25">
      <c r="C123" s="1"/>
      <c r="D123" s="1"/>
      <c r="E123" s="1"/>
      <c r="F123" s="1"/>
      <c r="G123" s="1"/>
    </row>
    <row r="124" spans="3:7" ht="15.75" customHeight="1" x14ac:dyDescent="0.25">
      <c r="C124" s="1"/>
      <c r="D124" s="1"/>
      <c r="E124" s="1"/>
      <c r="F124" s="1"/>
      <c r="G124" s="1"/>
    </row>
    <row r="125" spans="3:7" ht="15.75" customHeight="1" x14ac:dyDescent="0.25">
      <c r="C125" s="1"/>
      <c r="D125" s="1"/>
      <c r="E125" s="1"/>
      <c r="F125" s="1"/>
      <c r="G125" s="1"/>
    </row>
    <row r="126" spans="3:7" ht="15.75" customHeight="1" x14ac:dyDescent="0.25">
      <c r="C126" s="1"/>
      <c r="D126" s="1"/>
      <c r="E126" s="1"/>
      <c r="F126" s="1"/>
      <c r="G126" s="1"/>
    </row>
    <row r="127" spans="3:7" ht="15.75" customHeight="1" x14ac:dyDescent="0.25">
      <c r="C127" s="1"/>
      <c r="D127" s="1"/>
      <c r="E127" s="1"/>
      <c r="F127" s="1"/>
      <c r="G127" s="1"/>
    </row>
    <row r="128" spans="3:7" ht="15.75" customHeight="1" x14ac:dyDescent="0.25">
      <c r="C128" s="1"/>
      <c r="D128" s="1"/>
      <c r="E128" s="1"/>
      <c r="F128" s="1"/>
      <c r="G128" s="1"/>
    </row>
    <row r="129" spans="3:7" ht="15.75" customHeight="1" x14ac:dyDescent="0.25">
      <c r="C129" s="1"/>
      <c r="D129" s="1"/>
      <c r="E129" s="1"/>
      <c r="F129" s="1"/>
      <c r="G129" s="1"/>
    </row>
    <row r="130" spans="3:7" ht="15.75" customHeight="1" x14ac:dyDescent="0.25">
      <c r="C130" s="1"/>
      <c r="D130" s="1"/>
      <c r="E130" s="1"/>
      <c r="F130" s="1"/>
      <c r="G130" s="1"/>
    </row>
    <row r="131" spans="3:7" ht="15.75" customHeight="1" x14ac:dyDescent="0.25">
      <c r="C131" s="1"/>
      <c r="D131" s="1"/>
      <c r="E131" s="1"/>
      <c r="F131" s="1"/>
      <c r="G131" s="1"/>
    </row>
    <row r="132" spans="3:7" ht="15.75" customHeight="1" x14ac:dyDescent="0.25">
      <c r="C132" s="1"/>
      <c r="D132" s="1"/>
      <c r="E132" s="1"/>
      <c r="F132" s="1"/>
      <c r="G132" s="1"/>
    </row>
    <row r="133" spans="3:7" ht="15.75" customHeight="1" x14ac:dyDescent="0.25">
      <c r="C133" s="1"/>
      <c r="D133" s="1"/>
      <c r="E133" s="1"/>
      <c r="F133" s="1"/>
      <c r="G133" s="1"/>
    </row>
    <row r="134" spans="3:7" ht="15.75" customHeight="1" x14ac:dyDescent="0.25">
      <c r="C134" s="1"/>
      <c r="D134" s="1"/>
      <c r="E134" s="1"/>
      <c r="F134" s="1"/>
      <c r="G134" s="1"/>
    </row>
    <row r="135" spans="3:7" ht="15.75" customHeight="1" x14ac:dyDescent="0.25">
      <c r="C135" s="1"/>
      <c r="D135" s="1"/>
      <c r="E135" s="1"/>
      <c r="F135" s="1"/>
      <c r="G135" s="1"/>
    </row>
    <row r="136" spans="3:7" ht="15.75" customHeight="1" x14ac:dyDescent="0.25">
      <c r="C136" s="1"/>
      <c r="D136" s="1"/>
      <c r="E136" s="1"/>
      <c r="F136" s="1"/>
      <c r="G136" s="1"/>
    </row>
    <row r="137" spans="3:7" ht="15.75" customHeight="1" x14ac:dyDescent="0.25">
      <c r="C137" s="1"/>
      <c r="D137" s="1"/>
      <c r="E137" s="1"/>
      <c r="F137" s="1"/>
      <c r="G137" s="1"/>
    </row>
    <row r="138" spans="3:7" ht="15.75" customHeight="1" x14ac:dyDescent="0.25">
      <c r="C138" s="1"/>
      <c r="D138" s="1"/>
      <c r="E138" s="1"/>
      <c r="F138" s="1"/>
      <c r="G138" s="1"/>
    </row>
    <row r="139" spans="3:7" ht="15.75" customHeight="1" x14ac:dyDescent="0.25">
      <c r="C139" s="1"/>
      <c r="D139" s="1"/>
      <c r="E139" s="1"/>
      <c r="F139" s="1"/>
      <c r="G139" s="1"/>
    </row>
    <row r="140" spans="3:7" ht="15.75" customHeight="1" x14ac:dyDescent="0.25">
      <c r="C140" s="1"/>
      <c r="D140" s="1"/>
      <c r="E140" s="1"/>
      <c r="F140" s="1"/>
      <c r="G140" s="1"/>
    </row>
    <row r="141" spans="3:7" ht="15.75" customHeight="1" x14ac:dyDescent="0.25">
      <c r="C141" s="1"/>
      <c r="D141" s="1"/>
      <c r="E141" s="1"/>
      <c r="F141" s="1"/>
      <c r="G141" s="1"/>
    </row>
    <row r="142" spans="3:7" ht="15.75" customHeight="1" x14ac:dyDescent="0.25">
      <c r="C142" s="1"/>
      <c r="D142" s="1"/>
      <c r="E142" s="1"/>
      <c r="F142" s="1"/>
      <c r="G142" s="1"/>
    </row>
    <row r="143" spans="3:7" ht="15.75" customHeight="1" x14ac:dyDescent="0.25">
      <c r="C143" s="1"/>
      <c r="D143" s="1"/>
      <c r="E143" s="1"/>
      <c r="F143" s="1"/>
      <c r="G143" s="1"/>
    </row>
    <row r="144" spans="3:7" ht="15.75" customHeight="1" x14ac:dyDescent="0.25">
      <c r="C144" s="1"/>
      <c r="D144" s="1"/>
      <c r="E144" s="1"/>
      <c r="F144" s="1"/>
      <c r="G144" s="1"/>
    </row>
    <row r="145" spans="3:7" ht="15.75" customHeight="1" x14ac:dyDescent="0.25">
      <c r="C145" s="1"/>
      <c r="D145" s="1"/>
      <c r="E145" s="1"/>
      <c r="F145" s="1"/>
      <c r="G145" s="1"/>
    </row>
    <row r="146" spans="3:7" ht="15.75" customHeight="1" x14ac:dyDescent="0.25">
      <c r="C146" s="1"/>
      <c r="D146" s="1"/>
      <c r="E146" s="1"/>
      <c r="F146" s="1"/>
      <c r="G146" s="1"/>
    </row>
    <row r="147" spans="3:7" ht="15.75" customHeight="1" x14ac:dyDescent="0.25">
      <c r="C147" s="1"/>
      <c r="D147" s="1"/>
      <c r="E147" s="1"/>
      <c r="F147" s="1"/>
      <c r="G147" s="1"/>
    </row>
    <row r="148" spans="3:7" ht="15.75" customHeight="1" x14ac:dyDescent="0.25">
      <c r="C148" s="1"/>
      <c r="D148" s="1"/>
      <c r="E148" s="1"/>
      <c r="F148" s="1"/>
      <c r="G148" s="1"/>
    </row>
    <row r="149" spans="3:7" ht="15.75" customHeight="1" x14ac:dyDescent="0.25">
      <c r="C149" s="1"/>
      <c r="D149" s="1"/>
      <c r="E149" s="1"/>
      <c r="F149" s="1"/>
      <c r="G149" s="1"/>
    </row>
    <row r="150" spans="3:7" ht="15.75" customHeight="1" x14ac:dyDescent="0.25">
      <c r="C150" s="1"/>
      <c r="D150" s="1"/>
      <c r="E150" s="1"/>
      <c r="F150" s="1"/>
      <c r="G150" s="1"/>
    </row>
    <row r="151" spans="3:7" ht="15.75" customHeight="1" x14ac:dyDescent="0.25">
      <c r="C151" s="1"/>
      <c r="D151" s="1"/>
      <c r="E151" s="1"/>
      <c r="F151" s="1"/>
      <c r="G151" s="1"/>
    </row>
    <row r="152" spans="3:7" ht="15.75" customHeight="1" x14ac:dyDescent="0.25">
      <c r="C152" s="1"/>
      <c r="D152" s="1"/>
      <c r="E152" s="1"/>
      <c r="F152" s="1"/>
      <c r="G152" s="1"/>
    </row>
    <row r="153" spans="3:7" ht="15.75" customHeight="1" x14ac:dyDescent="0.25">
      <c r="C153" s="1"/>
      <c r="D153" s="1"/>
      <c r="E153" s="1"/>
      <c r="F153" s="1"/>
      <c r="G153" s="1"/>
    </row>
    <row r="154" spans="3:7" ht="15.75" customHeight="1" x14ac:dyDescent="0.25">
      <c r="C154" s="1"/>
      <c r="D154" s="1"/>
      <c r="E154" s="1"/>
      <c r="F154" s="1"/>
      <c r="G154" s="1"/>
    </row>
    <row r="155" spans="3:7" ht="15.75" customHeight="1" x14ac:dyDescent="0.25">
      <c r="C155" s="1"/>
      <c r="D155" s="1"/>
      <c r="E155" s="1"/>
      <c r="F155" s="1"/>
      <c r="G155" s="1"/>
    </row>
    <row r="156" spans="3:7" ht="15.75" customHeight="1" x14ac:dyDescent="0.25">
      <c r="C156" s="1"/>
      <c r="D156" s="1"/>
      <c r="E156" s="1"/>
      <c r="F156" s="1"/>
      <c r="G156" s="1"/>
    </row>
    <row r="157" spans="3:7" ht="15.75" customHeight="1" x14ac:dyDescent="0.25">
      <c r="C157" s="1"/>
      <c r="D157" s="1"/>
      <c r="E157" s="1"/>
      <c r="F157" s="1"/>
      <c r="G157" s="1"/>
    </row>
    <row r="158" spans="3:7" ht="15.75" customHeight="1" x14ac:dyDescent="0.25">
      <c r="C158" s="1"/>
      <c r="D158" s="1"/>
      <c r="E158" s="1"/>
      <c r="F158" s="1"/>
      <c r="G158" s="1"/>
    </row>
    <row r="159" spans="3:7" ht="15.75" customHeight="1" x14ac:dyDescent="0.25">
      <c r="C159" s="1"/>
      <c r="D159" s="1"/>
      <c r="E159" s="1"/>
      <c r="F159" s="1"/>
      <c r="G159" s="1"/>
    </row>
    <row r="160" spans="3:7" ht="15.75" customHeight="1" x14ac:dyDescent="0.25">
      <c r="C160" s="1"/>
      <c r="D160" s="1"/>
      <c r="E160" s="1"/>
      <c r="F160" s="1"/>
      <c r="G160" s="1"/>
    </row>
    <row r="161" spans="3:7" ht="15.75" customHeight="1" x14ac:dyDescent="0.25">
      <c r="C161" s="1"/>
      <c r="D161" s="1"/>
      <c r="E161" s="1"/>
      <c r="F161" s="1"/>
      <c r="G161" s="1"/>
    </row>
    <row r="162" spans="3:7" ht="15.75" customHeight="1" x14ac:dyDescent="0.25">
      <c r="C162" s="1"/>
      <c r="D162" s="1"/>
      <c r="E162" s="1"/>
      <c r="F162" s="1"/>
      <c r="G162" s="1"/>
    </row>
    <row r="163" spans="3:7" ht="15.75" customHeight="1" x14ac:dyDescent="0.25">
      <c r="C163" s="1"/>
      <c r="D163" s="1"/>
      <c r="E163" s="1"/>
      <c r="F163" s="1"/>
      <c r="G163" s="1"/>
    </row>
    <row r="164" spans="3:7" ht="15.75" customHeight="1" x14ac:dyDescent="0.25">
      <c r="C164" s="1"/>
      <c r="D164" s="1"/>
      <c r="E164" s="1"/>
      <c r="F164" s="1"/>
      <c r="G164" s="1"/>
    </row>
    <row r="165" spans="3:7" ht="15.75" customHeight="1" x14ac:dyDescent="0.25">
      <c r="C165" s="1"/>
      <c r="D165" s="1"/>
      <c r="E165" s="1"/>
      <c r="F165" s="1"/>
      <c r="G165" s="1"/>
    </row>
    <row r="166" spans="3:7" ht="15.75" customHeight="1" x14ac:dyDescent="0.25">
      <c r="C166" s="1"/>
      <c r="D166" s="1"/>
      <c r="E166" s="1"/>
      <c r="F166" s="1"/>
      <c r="G166" s="1"/>
    </row>
    <row r="167" spans="3:7" ht="15.75" customHeight="1" x14ac:dyDescent="0.25">
      <c r="C167" s="1"/>
      <c r="D167" s="1"/>
      <c r="E167" s="1"/>
      <c r="F167" s="1"/>
      <c r="G167" s="1"/>
    </row>
    <row r="168" spans="3:7" ht="15.75" customHeight="1" x14ac:dyDescent="0.25">
      <c r="C168" s="1"/>
      <c r="D168" s="1"/>
      <c r="E168" s="1"/>
      <c r="F168" s="1"/>
      <c r="G168" s="1"/>
    </row>
    <row r="169" spans="3:7" ht="15.75" customHeight="1" x14ac:dyDescent="0.25">
      <c r="C169" s="1"/>
      <c r="D169" s="1"/>
      <c r="E169" s="1"/>
      <c r="F169" s="1"/>
      <c r="G169" s="1"/>
    </row>
    <row r="170" spans="3:7" ht="15.75" customHeight="1" x14ac:dyDescent="0.25">
      <c r="C170" s="1"/>
      <c r="D170" s="1"/>
      <c r="E170" s="1"/>
      <c r="F170" s="1"/>
      <c r="G170" s="1"/>
    </row>
    <row r="171" spans="3:7" ht="15.75" customHeight="1" x14ac:dyDescent="0.25">
      <c r="C171" s="1"/>
      <c r="D171" s="1"/>
      <c r="E171" s="1"/>
      <c r="F171" s="1"/>
      <c r="G171" s="1"/>
    </row>
    <row r="172" spans="3:7" ht="15.75" customHeight="1" x14ac:dyDescent="0.25">
      <c r="C172" s="1"/>
      <c r="D172" s="1"/>
      <c r="E172" s="1"/>
      <c r="F172" s="1"/>
      <c r="G172" s="1"/>
    </row>
    <row r="173" spans="3:7" ht="15.75" customHeight="1" x14ac:dyDescent="0.25">
      <c r="C173" s="1"/>
      <c r="D173" s="1"/>
      <c r="E173" s="1"/>
      <c r="F173" s="1"/>
      <c r="G173" s="1"/>
    </row>
    <row r="174" spans="3:7" ht="15.75" customHeight="1" x14ac:dyDescent="0.25">
      <c r="C174" s="1"/>
      <c r="D174" s="1"/>
      <c r="E174" s="1"/>
      <c r="F174" s="1"/>
      <c r="G174" s="1"/>
    </row>
    <row r="175" spans="3:7" ht="15.75" customHeight="1" x14ac:dyDescent="0.25">
      <c r="C175" s="1"/>
      <c r="D175" s="1"/>
      <c r="E175" s="1"/>
      <c r="F175" s="1"/>
      <c r="G175" s="1"/>
    </row>
    <row r="176" spans="3:7" ht="15.75" customHeight="1" x14ac:dyDescent="0.25">
      <c r="C176" s="1"/>
      <c r="D176" s="1"/>
      <c r="E176" s="1"/>
      <c r="F176" s="1"/>
      <c r="G176" s="1"/>
    </row>
    <row r="177" spans="3:7" ht="15.75" customHeight="1" x14ac:dyDescent="0.25">
      <c r="C177" s="1"/>
      <c r="D177" s="1"/>
      <c r="E177" s="1"/>
      <c r="F177" s="1"/>
      <c r="G177" s="1"/>
    </row>
    <row r="178" spans="3:7" ht="15.75" customHeight="1" x14ac:dyDescent="0.25">
      <c r="C178" s="1"/>
      <c r="D178" s="1"/>
      <c r="E178" s="1"/>
      <c r="F178" s="1"/>
      <c r="G178" s="1"/>
    </row>
    <row r="179" spans="3:7" ht="15.75" customHeight="1" x14ac:dyDescent="0.25">
      <c r="C179" s="1"/>
      <c r="D179" s="1"/>
      <c r="E179" s="1"/>
      <c r="F179" s="1"/>
      <c r="G179" s="1"/>
    </row>
    <row r="180" spans="3:7" ht="15.75" customHeight="1" x14ac:dyDescent="0.25">
      <c r="C180" s="1"/>
      <c r="D180" s="1"/>
      <c r="E180" s="1"/>
      <c r="F180" s="1"/>
      <c r="G180" s="1"/>
    </row>
    <row r="181" spans="3:7" ht="15.75" customHeight="1" x14ac:dyDescent="0.25">
      <c r="C181" s="1"/>
      <c r="D181" s="1"/>
      <c r="E181" s="1"/>
      <c r="F181" s="1"/>
      <c r="G181" s="1"/>
    </row>
    <row r="182" spans="3:7" ht="15.75" customHeight="1" x14ac:dyDescent="0.25">
      <c r="C182" s="1"/>
      <c r="D182" s="1"/>
      <c r="E182" s="1"/>
      <c r="F182" s="1"/>
      <c r="G182" s="1"/>
    </row>
    <row r="183" spans="3:7" ht="15.75" customHeight="1" x14ac:dyDescent="0.25">
      <c r="C183" s="1"/>
      <c r="D183" s="1"/>
      <c r="E183" s="1"/>
      <c r="F183" s="1"/>
      <c r="G183" s="1"/>
    </row>
    <row r="184" spans="3:7" ht="15.75" customHeight="1" x14ac:dyDescent="0.25">
      <c r="C184" s="1"/>
      <c r="D184" s="1"/>
      <c r="E184" s="1"/>
      <c r="F184" s="1"/>
      <c r="G184" s="1"/>
    </row>
    <row r="185" spans="3:7" ht="15.75" customHeight="1" x14ac:dyDescent="0.25">
      <c r="C185" s="1"/>
      <c r="D185" s="1"/>
      <c r="E185" s="1"/>
      <c r="F185" s="1"/>
      <c r="G185" s="1"/>
    </row>
    <row r="186" spans="3:7" ht="15.75" customHeight="1" x14ac:dyDescent="0.25">
      <c r="C186" s="1"/>
      <c r="D186" s="1"/>
      <c r="E186" s="1"/>
      <c r="F186" s="1"/>
      <c r="G186" s="1"/>
    </row>
    <row r="187" spans="3:7" ht="15.75" customHeight="1" x14ac:dyDescent="0.25">
      <c r="C187" s="1"/>
      <c r="D187" s="1"/>
      <c r="E187" s="1"/>
      <c r="F187" s="1"/>
      <c r="G187" s="1"/>
    </row>
    <row r="188" spans="3:7" ht="15.75" customHeight="1" x14ac:dyDescent="0.25">
      <c r="C188" s="1"/>
      <c r="D188" s="1"/>
      <c r="E188" s="1"/>
      <c r="F188" s="1"/>
      <c r="G188" s="1"/>
    </row>
    <row r="189" spans="3:7" ht="15.75" customHeight="1" x14ac:dyDescent="0.25">
      <c r="C189" s="1"/>
      <c r="D189" s="1"/>
      <c r="E189" s="1"/>
      <c r="F189" s="1"/>
      <c r="G189" s="1"/>
    </row>
    <row r="190" spans="3:7" ht="15.75" customHeight="1" x14ac:dyDescent="0.25">
      <c r="C190" s="1"/>
      <c r="D190" s="1"/>
      <c r="E190" s="1"/>
      <c r="F190" s="1"/>
      <c r="G190" s="1"/>
    </row>
    <row r="191" spans="3:7" ht="15.75" customHeight="1" x14ac:dyDescent="0.25">
      <c r="C191" s="1"/>
      <c r="D191" s="1"/>
      <c r="E191" s="1"/>
      <c r="F191" s="1"/>
      <c r="G191" s="1"/>
    </row>
    <row r="192" spans="3:7" ht="15.75" customHeight="1" x14ac:dyDescent="0.25">
      <c r="C192" s="1"/>
      <c r="D192" s="1"/>
      <c r="E192" s="1"/>
      <c r="F192" s="1"/>
      <c r="G192" s="1"/>
    </row>
    <row r="193" spans="3:7" ht="15.75" customHeight="1" x14ac:dyDescent="0.25">
      <c r="C193" s="1"/>
      <c r="D193" s="1"/>
      <c r="E193" s="1"/>
      <c r="F193" s="1"/>
      <c r="G193" s="1"/>
    </row>
    <row r="194" spans="3:7" ht="15.75" customHeight="1" x14ac:dyDescent="0.25">
      <c r="C194" s="1"/>
      <c r="D194" s="1"/>
      <c r="E194" s="1"/>
      <c r="F194" s="1"/>
      <c r="G194" s="1"/>
    </row>
    <row r="195" spans="3:7" ht="15.75" customHeight="1" x14ac:dyDescent="0.25">
      <c r="C195" s="1"/>
      <c r="D195" s="1"/>
      <c r="E195" s="1"/>
      <c r="F195" s="1"/>
      <c r="G195" s="1"/>
    </row>
    <row r="196" spans="3:7" ht="15.75" customHeight="1" x14ac:dyDescent="0.25">
      <c r="C196" s="1"/>
      <c r="D196" s="1"/>
      <c r="E196" s="1"/>
      <c r="F196" s="1"/>
      <c r="G196" s="1"/>
    </row>
    <row r="197" spans="3:7" ht="15.75" customHeight="1" x14ac:dyDescent="0.25">
      <c r="C197" s="1"/>
      <c r="D197" s="1"/>
      <c r="E197" s="1"/>
      <c r="F197" s="1"/>
      <c r="G197" s="1"/>
    </row>
    <row r="198" spans="3:7" ht="15.75" customHeight="1" x14ac:dyDescent="0.25">
      <c r="C198" s="1"/>
      <c r="D198" s="1"/>
      <c r="E198" s="1"/>
      <c r="F198" s="1"/>
      <c r="G198" s="1"/>
    </row>
    <row r="199" spans="3:7" ht="15.75" customHeight="1" x14ac:dyDescent="0.25">
      <c r="C199" s="1"/>
      <c r="D199" s="1"/>
      <c r="E199" s="1"/>
      <c r="F199" s="1"/>
      <c r="G199" s="1"/>
    </row>
    <row r="200" spans="3:7" ht="15.75" customHeight="1" x14ac:dyDescent="0.25">
      <c r="C200" s="1"/>
      <c r="D200" s="1"/>
      <c r="E200" s="1"/>
      <c r="F200" s="1"/>
      <c r="G200" s="1"/>
    </row>
    <row r="201" spans="3:7" ht="15.75" customHeight="1" x14ac:dyDescent="0.25">
      <c r="C201" s="1"/>
      <c r="D201" s="1"/>
      <c r="E201" s="1"/>
      <c r="F201" s="1"/>
      <c r="G201" s="1"/>
    </row>
    <row r="202" spans="3:7" ht="15.75" customHeight="1" x14ac:dyDescent="0.25">
      <c r="C202" s="1"/>
      <c r="D202" s="1"/>
      <c r="E202" s="1"/>
      <c r="F202" s="1"/>
      <c r="G202" s="1"/>
    </row>
    <row r="203" spans="3:7" ht="15.75" customHeight="1" x14ac:dyDescent="0.25">
      <c r="C203" s="1"/>
      <c r="D203" s="1"/>
      <c r="E203" s="1"/>
      <c r="F203" s="1"/>
      <c r="G203" s="1"/>
    </row>
    <row r="204" spans="3:7" ht="15.75" customHeight="1" x14ac:dyDescent="0.25">
      <c r="C204" s="1"/>
      <c r="D204" s="1"/>
      <c r="E204" s="1"/>
      <c r="F204" s="1"/>
      <c r="G204" s="1"/>
    </row>
    <row r="205" spans="3:7" ht="15.75" customHeight="1" x14ac:dyDescent="0.25">
      <c r="C205" s="1"/>
      <c r="D205" s="1"/>
      <c r="E205" s="1"/>
      <c r="F205" s="1"/>
      <c r="G205" s="1"/>
    </row>
    <row r="206" spans="3:7" ht="15.75" customHeight="1" x14ac:dyDescent="0.25">
      <c r="C206" s="1"/>
      <c r="D206" s="1"/>
      <c r="E206" s="1"/>
      <c r="F206" s="1"/>
      <c r="G206" s="1"/>
    </row>
    <row r="207" spans="3:7" ht="15.75" customHeight="1" x14ac:dyDescent="0.25">
      <c r="C207" s="1"/>
      <c r="D207" s="1"/>
      <c r="E207" s="1"/>
      <c r="F207" s="1"/>
      <c r="G207" s="1"/>
    </row>
    <row r="208" spans="3:7" ht="15.75" customHeight="1" x14ac:dyDescent="0.25">
      <c r="C208" s="1"/>
      <c r="D208" s="1"/>
      <c r="E208" s="1"/>
      <c r="F208" s="1"/>
      <c r="G208" s="1"/>
    </row>
    <row r="209" spans="3:7" ht="15.75" customHeight="1" x14ac:dyDescent="0.25">
      <c r="C209" s="1"/>
      <c r="D209" s="1"/>
      <c r="E209" s="1"/>
      <c r="F209" s="1"/>
      <c r="G209" s="1"/>
    </row>
    <row r="210" spans="3:7" ht="15.75" customHeight="1" x14ac:dyDescent="0.25">
      <c r="C210" s="1"/>
      <c r="D210" s="1"/>
      <c r="E210" s="1"/>
      <c r="F210" s="1"/>
      <c r="G210" s="1"/>
    </row>
    <row r="211" spans="3:7" ht="15.75" customHeight="1" x14ac:dyDescent="0.25">
      <c r="C211" s="1"/>
      <c r="D211" s="1"/>
      <c r="E211" s="1"/>
      <c r="F211" s="1"/>
      <c r="G211" s="1"/>
    </row>
    <row r="212" spans="3:7" ht="15.75" customHeight="1" x14ac:dyDescent="0.25">
      <c r="C212" s="1"/>
      <c r="D212" s="1"/>
      <c r="E212" s="1"/>
      <c r="F212" s="1"/>
      <c r="G212" s="1"/>
    </row>
    <row r="213" spans="3:7" ht="15.75" customHeight="1" x14ac:dyDescent="0.25">
      <c r="C213" s="1"/>
      <c r="D213" s="1"/>
      <c r="E213" s="1"/>
      <c r="F213" s="1"/>
      <c r="G213" s="1"/>
    </row>
    <row r="214" spans="3:7" ht="15.75" customHeight="1" x14ac:dyDescent="0.25">
      <c r="C214" s="1"/>
      <c r="D214" s="1"/>
      <c r="E214" s="1"/>
      <c r="F214" s="1"/>
      <c r="G214" s="1"/>
    </row>
    <row r="215" spans="3:7" ht="15.75" customHeight="1" x14ac:dyDescent="0.25">
      <c r="C215" s="1"/>
      <c r="D215" s="1"/>
      <c r="E215" s="1"/>
      <c r="F215" s="1"/>
      <c r="G215" s="1"/>
    </row>
    <row r="216" spans="3:7" ht="15.75" customHeight="1" x14ac:dyDescent="0.25">
      <c r="C216" s="1"/>
      <c r="D216" s="1"/>
      <c r="E216" s="1"/>
      <c r="F216" s="1"/>
      <c r="G216" s="1"/>
    </row>
    <row r="217" spans="3:7" ht="15.75" customHeight="1" x14ac:dyDescent="0.25">
      <c r="C217" s="1"/>
      <c r="D217" s="1"/>
      <c r="E217" s="1"/>
      <c r="F217" s="1"/>
      <c r="G217" s="1"/>
    </row>
    <row r="218" spans="3:7" ht="15.75" customHeight="1" x14ac:dyDescent="0.25">
      <c r="C218" s="1"/>
      <c r="D218" s="1"/>
      <c r="E218" s="1"/>
      <c r="F218" s="1"/>
      <c r="G218" s="1"/>
    </row>
    <row r="219" spans="3:7" ht="15.75" customHeight="1" x14ac:dyDescent="0.25">
      <c r="C219" s="1"/>
      <c r="D219" s="1"/>
      <c r="E219" s="1"/>
      <c r="F219" s="1"/>
      <c r="G219" s="1"/>
    </row>
    <row r="220" spans="3:7" ht="15.75" customHeight="1" x14ac:dyDescent="0.25">
      <c r="C220" s="1"/>
      <c r="D220" s="1"/>
      <c r="E220" s="1"/>
      <c r="F220" s="1"/>
      <c r="G220" s="1"/>
    </row>
    <row r="221" spans="3:7" ht="15.75" customHeight="1" x14ac:dyDescent="0.25">
      <c r="C221" s="1"/>
      <c r="D221" s="1"/>
      <c r="E221" s="1"/>
      <c r="F221" s="1"/>
      <c r="G221" s="1"/>
    </row>
    <row r="222" spans="3:7" ht="15.75" customHeight="1" x14ac:dyDescent="0.25">
      <c r="C222" s="1"/>
      <c r="D222" s="1"/>
      <c r="E222" s="1"/>
      <c r="F222" s="1"/>
      <c r="G222" s="1"/>
    </row>
    <row r="223" spans="3:7" ht="15.75" customHeight="1" x14ac:dyDescent="0.25">
      <c r="C223" s="1"/>
      <c r="D223" s="1"/>
      <c r="E223" s="1"/>
      <c r="F223" s="1"/>
      <c r="G223" s="1"/>
    </row>
    <row r="224" spans="3:7" ht="15.75" customHeight="1" x14ac:dyDescent="0.25">
      <c r="C224" s="1"/>
      <c r="D224" s="1"/>
      <c r="E224" s="1"/>
      <c r="F224" s="1"/>
      <c r="G224" s="1"/>
    </row>
    <row r="225" spans="3:7" ht="15.75" customHeight="1" x14ac:dyDescent="0.25">
      <c r="C225" s="1"/>
      <c r="D225" s="1"/>
      <c r="E225" s="1"/>
      <c r="F225" s="1"/>
      <c r="G225" s="1"/>
    </row>
    <row r="226" spans="3:7" ht="15.75" customHeight="1" x14ac:dyDescent="0.25">
      <c r="C226" s="1"/>
      <c r="D226" s="1"/>
      <c r="E226" s="1"/>
      <c r="F226" s="1"/>
      <c r="G226" s="1"/>
    </row>
    <row r="227" spans="3:7" ht="15.75" customHeight="1" x14ac:dyDescent="0.25">
      <c r="C227" s="1"/>
      <c r="D227" s="1"/>
      <c r="E227" s="1"/>
      <c r="F227" s="1"/>
      <c r="G227" s="1"/>
    </row>
    <row r="228" spans="3:7" ht="15.75" customHeight="1" x14ac:dyDescent="0.25">
      <c r="C228" s="1"/>
      <c r="D228" s="1"/>
      <c r="E228" s="1"/>
      <c r="F228" s="1"/>
      <c r="G228" s="1"/>
    </row>
    <row r="229" spans="3:7" ht="15.75" customHeight="1" x14ac:dyDescent="0.25">
      <c r="C229" s="1"/>
      <c r="D229" s="1"/>
      <c r="E229" s="1"/>
      <c r="F229" s="1"/>
      <c r="G229" s="1"/>
    </row>
    <row r="230" spans="3:7" ht="15.75" customHeight="1" x14ac:dyDescent="0.25">
      <c r="C230" s="1"/>
      <c r="D230" s="1"/>
      <c r="E230" s="1"/>
      <c r="F230" s="1"/>
      <c r="G230" s="1"/>
    </row>
    <row r="231" spans="3:7" ht="15.75" customHeight="1" x14ac:dyDescent="0.25">
      <c r="C231" s="1"/>
      <c r="D231" s="1"/>
      <c r="E231" s="1"/>
      <c r="F231" s="1"/>
      <c r="G231" s="1"/>
    </row>
    <row r="232" spans="3:7" ht="15.75" customHeight="1" x14ac:dyDescent="0.25">
      <c r="C232" s="1"/>
      <c r="D232" s="1"/>
      <c r="E232" s="1"/>
      <c r="F232" s="1"/>
      <c r="G232" s="1"/>
    </row>
    <row r="233" spans="3:7" ht="15.75" customHeight="1" x14ac:dyDescent="0.25">
      <c r="C233" s="1"/>
      <c r="D233" s="1"/>
      <c r="E233" s="1"/>
      <c r="F233" s="1"/>
      <c r="G233" s="1"/>
    </row>
    <row r="234" spans="3:7" ht="15.75" customHeight="1" x14ac:dyDescent="0.25">
      <c r="C234" s="1"/>
      <c r="D234" s="1"/>
      <c r="E234" s="1"/>
      <c r="F234" s="1"/>
      <c r="G234" s="1"/>
    </row>
    <row r="235" spans="3:7" ht="15.75" customHeight="1" x14ac:dyDescent="0.25">
      <c r="C235" s="1"/>
      <c r="D235" s="1"/>
      <c r="E235" s="1"/>
      <c r="F235" s="1"/>
      <c r="G235" s="1"/>
    </row>
    <row r="236" spans="3:7" ht="15.75" customHeight="1" x14ac:dyDescent="0.25">
      <c r="C236" s="1"/>
      <c r="D236" s="1"/>
      <c r="E236" s="1"/>
      <c r="F236" s="1"/>
      <c r="G236" s="1"/>
    </row>
    <row r="237" spans="3:7" ht="15.75" customHeight="1" x14ac:dyDescent="0.25">
      <c r="C237" s="1"/>
      <c r="D237" s="1"/>
      <c r="E237" s="1"/>
      <c r="F237" s="1"/>
      <c r="G237" s="1"/>
    </row>
    <row r="238" spans="3:7" ht="15.75" customHeight="1" x14ac:dyDescent="0.25">
      <c r="C238" s="1"/>
      <c r="D238" s="1"/>
      <c r="E238" s="1"/>
      <c r="F238" s="1"/>
      <c r="G238" s="1"/>
    </row>
    <row r="239" spans="3:7" ht="15.75" customHeight="1" x14ac:dyDescent="0.25">
      <c r="C239" s="1"/>
      <c r="D239" s="1"/>
      <c r="E239" s="1"/>
      <c r="F239" s="1"/>
      <c r="G239" s="1"/>
    </row>
    <row r="240" spans="3:7" ht="15.75" customHeight="1" x14ac:dyDescent="0.25">
      <c r="C240" s="1"/>
      <c r="D240" s="1"/>
      <c r="E240" s="1"/>
      <c r="F240" s="1"/>
      <c r="G240" s="1"/>
    </row>
    <row r="241" spans="3:7" ht="15.75" customHeight="1" x14ac:dyDescent="0.25">
      <c r="C241" s="1"/>
      <c r="D241" s="1"/>
      <c r="E241" s="1"/>
      <c r="F241" s="1"/>
      <c r="G241" s="1"/>
    </row>
    <row r="242" spans="3:7" ht="15.75" customHeight="1" x14ac:dyDescent="0.25">
      <c r="C242" s="1"/>
      <c r="D242" s="1"/>
      <c r="E242" s="1"/>
      <c r="F242" s="1"/>
      <c r="G242" s="1"/>
    </row>
    <row r="243" spans="3:7" ht="15.75" customHeight="1" x14ac:dyDescent="0.25">
      <c r="C243" s="1"/>
      <c r="D243" s="1"/>
      <c r="E243" s="1"/>
      <c r="F243" s="1"/>
      <c r="G243" s="1"/>
    </row>
    <row r="244" spans="3:7" ht="15.75" customHeight="1" x14ac:dyDescent="0.25">
      <c r="C244" s="1"/>
      <c r="D244" s="1"/>
      <c r="E244" s="1"/>
      <c r="F244" s="1"/>
      <c r="G244" s="1"/>
    </row>
    <row r="245" spans="3:7" ht="15.75" customHeight="1" x14ac:dyDescent="0.25">
      <c r="C245" s="1"/>
      <c r="D245" s="1"/>
      <c r="E245" s="1"/>
      <c r="F245" s="1"/>
      <c r="G245" s="1"/>
    </row>
    <row r="246" spans="3:7" ht="15.75" customHeight="1" x14ac:dyDescent="0.25">
      <c r="C246" s="1"/>
      <c r="D246" s="1"/>
      <c r="E246" s="1"/>
      <c r="F246" s="1"/>
      <c r="G246" s="1"/>
    </row>
    <row r="247" spans="3:7" ht="15.75" customHeight="1" x14ac:dyDescent="0.25">
      <c r="C247" s="1"/>
      <c r="D247" s="1"/>
      <c r="E247" s="1"/>
      <c r="F247" s="1"/>
      <c r="G247" s="1"/>
    </row>
    <row r="248" spans="3:7" ht="15.75" customHeight="1" x14ac:dyDescent="0.25">
      <c r="C248" s="1"/>
      <c r="D248" s="1"/>
      <c r="E248" s="1"/>
      <c r="F248" s="1"/>
      <c r="G248" s="1"/>
    </row>
    <row r="249" spans="3:7" ht="15.75" customHeight="1" x14ac:dyDescent="0.25">
      <c r="C249" s="1"/>
      <c r="D249" s="1"/>
      <c r="E249" s="1"/>
      <c r="F249" s="1"/>
      <c r="G249" s="1"/>
    </row>
    <row r="250" spans="3:7" ht="15.75" customHeight="1" x14ac:dyDescent="0.25">
      <c r="C250" s="1"/>
      <c r="D250" s="1"/>
      <c r="E250" s="1"/>
      <c r="F250" s="1"/>
      <c r="G250" s="1"/>
    </row>
    <row r="251" spans="3:7" ht="15.75" customHeight="1" x14ac:dyDescent="0.25">
      <c r="C251" s="1"/>
      <c r="D251" s="1"/>
      <c r="E251" s="1"/>
      <c r="F251" s="1"/>
      <c r="G251" s="1"/>
    </row>
    <row r="252" spans="3:7" ht="15.75" customHeight="1" x14ac:dyDescent="0.25">
      <c r="C252" s="1"/>
      <c r="D252" s="1"/>
      <c r="E252" s="1"/>
      <c r="F252" s="1"/>
      <c r="G252" s="1"/>
    </row>
    <row r="253" spans="3:7" ht="15.75" customHeight="1" x14ac:dyDescent="0.25">
      <c r="C253" s="1"/>
      <c r="D253" s="1"/>
      <c r="E253" s="1"/>
      <c r="F253" s="1"/>
      <c r="G253" s="1"/>
    </row>
    <row r="254" spans="3:7" ht="15.75" customHeight="1" x14ac:dyDescent="0.25">
      <c r="C254" s="1"/>
      <c r="D254" s="1"/>
      <c r="E254" s="1"/>
      <c r="F254" s="1"/>
      <c r="G254" s="1"/>
    </row>
    <row r="255" spans="3:7" ht="15.75" customHeight="1" x14ac:dyDescent="0.25">
      <c r="C255" s="1"/>
      <c r="D255" s="1"/>
      <c r="E255" s="1"/>
      <c r="F255" s="1"/>
      <c r="G255" s="1"/>
    </row>
    <row r="256" spans="3:7" ht="15.75" customHeight="1" x14ac:dyDescent="0.25">
      <c r="C256" s="1"/>
      <c r="D256" s="1"/>
      <c r="E256" s="1"/>
      <c r="F256" s="1"/>
      <c r="G256" s="1"/>
    </row>
    <row r="257" spans="3:7" ht="15.75" customHeight="1" x14ac:dyDescent="0.25">
      <c r="C257" s="1"/>
      <c r="D257" s="1"/>
      <c r="E257" s="1"/>
      <c r="F257" s="1"/>
      <c r="G257" s="1"/>
    </row>
    <row r="258" spans="3:7" ht="15.75" customHeight="1" x14ac:dyDescent="0.25">
      <c r="C258" s="1"/>
      <c r="D258" s="1"/>
      <c r="E258" s="1"/>
      <c r="F258" s="1"/>
      <c r="G258" s="1"/>
    </row>
    <row r="259" spans="3:7" ht="15.75" customHeight="1" x14ac:dyDescent="0.25">
      <c r="C259" s="1"/>
      <c r="D259" s="1"/>
      <c r="E259" s="1"/>
      <c r="F259" s="1"/>
      <c r="G259" s="1"/>
    </row>
    <row r="260" spans="3:7" ht="15.75" customHeight="1" x14ac:dyDescent="0.25">
      <c r="C260" s="1"/>
      <c r="D260" s="1"/>
      <c r="E260" s="1"/>
      <c r="F260" s="1"/>
      <c r="G260" s="1"/>
    </row>
    <row r="261" spans="3:7" ht="15.75" customHeight="1" x14ac:dyDescent="0.25">
      <c r="C261" s="1"/>
      <c r="D261" s="1"/>
      <c r="E261" s="1"/>
      <c r="F261" s="1"/>
      <c r="G261" s="1"/>
    </row>
    <row r="262" spans="3:7" ht="15.75" customHeight="1" x14ac:dyDescent="0.25">
      <c r="C262" s="1"/>
      <c r="D262" s="1"/>
      <c r="E262" s="1"/>
      <c r="F262" s="1"/>
      <c r="G262" s="1"/>
    </row>
    <row r="263" spans="3:7" ht="15.75" customHeight="1" x14ac:dyDescent="0.25">
      <c r="C263" s="1"/>
      <c r="D263" s="1"/>
      <c r="E263" s="1"/>
      <c r="F263" s="1"/>
      <c r="G263" s="1"/>
    </row>
    <row r="264" spans="3:7" ht="15.75" customHeight="1" x14ac:dyDescent="0.25">
      <c r="C264" s="1"/>
      <c r="D264" s="1"/>
      <c r="E264" s="1"/>
      <c r="F264" s="1"/>
      <c r="G264" s="1"/>
    </row>
    <row r="265" spans="3:7" ht="15.75" customHeight="1" x14ac:dyDescent="0.25">
      <c r="C265" s="1"/>
      <c r="D265" s="1"/>
      <c r="E265" s="1"/>
      <c r="F265" s="1"/>
      <c r="G265" s="1"/>
    </row>
    <row r="266" spans="3:7" ht="15.75" customHeight="1" x14ac:dyDescent="0.25">
      <c r="C266" s="1"/>
      <c r="D266" s="1"/>
      <c r="E266" s="1"/>
      <c r="F266" s="1"/>
      <c r="G266" s="1"/>
    </row>
    <row r="267" spans="3:7" ht="15.75" customHeight="1" x14ac:dyDescent="0.25">
      <c r="C267" s="1"/>
      <c r="D267" s="1"/>
      <c r="E267" s="1"/>
      <c r="F267" s="1"/>
      <c r="G267" s="1"/>
    </row>
    <row r="268" spans="3:7" ht="15.75" customHeight="1" x14ac:dyDescent="0.25">
      <c r="C268" s="1"/>
      <c r="D268" s="1"/>
      <c r="E268" s="1"/>
      <c r="F268" s="1"/>
      <c r="G268" s="1"/>
    </row>
    <row r="269" spans="3:7" ht="15.75" customHeight="1" x14ac:dyDescent="0.25">
      <c r="C269" s="1"/>
      <c r="D269" s="1"/>
      <c r="E269" s="1"/>
      <c r="F269" s="1"/>
      <c r="G269" s="1"/>
    </row>
    <row r="270" spans="3:7" ht="15.75" customHeight="1" x14ac:dyDescent="0.25">
      <c r="C270" s="1"/>
      <c r="D270" s="1"/>
      <c r="E270" s="1"/>
      <c r="F270" s="1"/>
      <c r="G270" s="1"/>
    </row>
    <row r="271" spans="3:7" ht="15.75" customHeight="1" x14ac:dyDescent="0.25">
      <c r="C271" s="1"/>
      <c r="D271" s="1"/>
      <c r="E271" s="1"/>
      <c r="F271" s="1"/>
      <c r="G271" s="1"/>
    </row>
    <row r="272" spans="3:7" ht="15.75" customHeight="1" x14ac:dyDescent="0.25">
      <c r="C272" s="1"/>
      <c r="D272" s="1"/>
      <c r="E272" s="1"/>
      <c r="F272" s="1"/>
      <c r="G272" s="1"/>
    </row>
    <row r="273" spans="3:7" ht="15.75" customHeight="1" x14ac:dyDescent="0.25">
      <c r="C273" s="1"/>
      <c r="D273" s="1"/>
      <c r="E273" s="1"/>
      <c r="F273" s="1"/>
      <c r="G273" s="1"/>
    </row>
    <row r="274" spans="3:7" ht="15.75" customHeight="1" x14ac:dyDescent="0.25">
      <c r="C274" s="1"/>
      <c r="D274" s="1"/>
      <c r="E274" s="1"/>
      <c r="F274" s="1"/>
      <c r="G274" s="1"/>
    </row>
    <row r="275" spans="3:7" ht="15.75" customHeight="1" x14ac:dyDescent="0.25">
      <c r="C275" s="1"/>
      <c r="D275" s="1"/>
      <c r="E275" s="1"/>
      <c r="F275" s="1"/>
      <c r="G275" s="1"/>
    </row>
    <row r="276" spans="3:7" ht="15.75" customHeight="1" x14ac:dyDescent="0.25">
      <c r="C276" s="1"/>
      <c r="D276" s="1"/>
      <c r="E276" s="1"/>
      <c r="F276" s="1"/>
      <c r="G276" s="1"/>
    </row>
    <row r="277" spans="3:7" ht="15.75" customHeight="1" x14ac:dyDescent="0.25">
      <c r="C277" s="1"/>
      <c r="D277" s="1"/>
      <c r="E277" s="1"/>
      <c r="F277" s="1"/>
      <c r="G277" s="1"/>
    </row>
    <row r="278" spans="3:7" ht="15.75" customHeight="1" x14ac:dyDescent="0.25">
      <c r="C278" s="1"/>
      <c r="D278" s="1"/>
      <c r="E278" s="1"/>
      <c r="F278" s="1"/>
      <c r="G278" s="1"/>
    </row>
    <row r="279" spans="3:7" ht="15.75" customHeight="1" x14ac:dyDescent="0.25">
      <c r="C279" s="1"/>
      <c r="D279" s="1"/>
      <c r="E279" s="1"/>
      <c r="F279" s="1"/>
      <c r="G279" s="1"/>
    </row>
    <row r="280" spans="3:7" ht="15.75" customHeight="1" x14ac:dyDescent="0.25">
      <c r="C280" s="1"/>
      <c r="D280" s="1"/>
      <c r="E280" s="1"/>
      <c r="F280" s="1"/>
      <c r="G280" s="1"/>
    </row>
    <row r="281" spans="3:7" ht="15.75" customHeight="1" x14ac:dyDescent="0.25">
      <c r="C281" s="1"/>
      <c r="D281" s="1"/>
      <c r="E281" s="1"/>
      <c r="F281" s="1"/>
      <c r="G281" s="1"/>
    </row>
    <row r="282" spans="3:7" ht="15.75" customHeight="1" x14ac:dyDescent="0.25">
      <c r="C282" s="1"/>
      <c r="D282" s="1"/>
      <c r="E282" s="1"/>
      <c r="F282" s="1"/>
      <c r="G282" s="1"/>
    </row>
    <row r="283" spans="3:7" ht="15.75" customHeight="1" x14ac:dyDescent="0.25">
      <c r="C283" s="1"/>
      <c r="D283" s="1"/>
      <c r="E283" s="1"/>
      <c r="F283" s="1"/>
      <c r="G283" s="1"/>
    </row>
    <row r="284" spans="3:7" ht="15.75" customHeight="1" x14ac:dyDescent="0.25">
      <c r="C284" s="1"/>
      <c r="D284" s="1"/>
      <c r="E284" s="1"/>
      <c r="F284" s="1"/>
      <c r="G284" s="1"/>
    </row>
    <row r="285" spans="3:7" ht="15.75" customHeight="1" x14ac:dyDescent="0.25">
      <c r="C285" s="1"/>
      <c r="D285" s="1"/>
      <c r="E285" s="1"/>
      <c r="F285" s="1"/>
      <c r="G285" s="1"/>
    </row>
    <row r="286" spans="3:7" ht="15.75" customHeight="1" x14ac:dyDescent="0.25">
      <c r="C286" s="1"/>
      <c r="D286" s="1"/>
      <c r="E286" s="1"/>
      <c r="F286" s="1"/>
      <c r="G286" s="1"/>
    </row>
    <row r="287" spans="3:7" ht="15.75" customHeight="1" x14ac:dyDescent="0.25">
      <c r="C287" s="1"/>
      <c r="D287" s="1"/>
      <c r="E287" s="1"/>
      <c r="F287" s="1"/>
      <c r="G287" s="1"/>
    </row>
    <row r="288" spans="3:7" ht="15.75" customHeight="1" x14ac:dyDescent="0.25">
      <c r="C288" s="1"/>
      <c r="D288" s="1"/>
      <c r="E288" s="1"/>
      <c r="F288" s="1"/>
      <c r="G288" s="1"/>
    </row>
    <row r="289" spans="3:7" ht="15.75" customHeight="1" x14ac:dyDescent="0.25">
      <c r="C289" s="1"/>
      <c r="D289" s="1"/>
      <c r="E289" s="1"/>
      <c r="F289" s="1"/>
      <c r="G289" s="1"/>
    </row>
    <row r="290" spans="3:7" ht="15.75" customHeight="1" x14ac:dyDescent="0.25">
      <c r="C290" s="1"/>
      <c r="D290" s="1"/>
      <c r="E290" s="1"/>
      <c r="F290" s="1"/>
      <c r="G290" s="1"/>
    </row>
    <row r="291" spans="3:7" ht="15.75" customHeight="1" x14ac:dyDescent="0.25">
      <c r="C291" s="1"/>
      <c r="D291" s="1"/>
      <c r="E291" s="1"/>
      <c r="F291" s="1"/>
      <c r="G291" s="1"/>
    </row>
    <row r="292" spans="3:7" ht="15.75" customHeight="1" x14ac:dyDescent="0.25">
      <c r="C292" s="1"/>
      <c r="D292" s="1"/>
      <c r="E292" s="1"/>
      <c r="F292" s="1"/>
      <c r="G292" s="1"/>
    </row>
    <row r="293" spans="3:7" ht="15.75" customHeight="1" x14ac:dyDescent="0.25">
      <c r="C293" s="1"/>
      <c r="D293" s="1"/>
      <c r="E293" s="1"/>
      <c r="F293" s="1"/>
      <c r="G293" s="1"/>
    </row>
    <row r="294" spans="3:7" ht="15.75" customHeight="1" x14ac:dyDescent="0.25">
      <c r="C294" s="1"/>
      <c r="D294" s="1"/>
      <c r="E294" s="1"/>
      <c r="F294" s="1"/>
      <c r="G294" s="1"/>
    </row>
    <row r="295" spans="3:7" ht="15.75" customHeight="1" x14ac:dyDescent="0.25">
      <c r="C295" s="1"/>
      <c r="D295" s="1"/>
      <c r="E295" s="1"/>
      <c r="F295" s="1"/>
      <c r="G295" s="1"/>
    </row>
    <row r="296" spans="3:7" ht="15.75" customHeight="1" x14ac:dyDescent="0.25">
      <c r="C296" s="1"/>
      <c r="D296" s="1"/>
      <c r="E296" s="1"/>
      <c r="F296" s="1"/>
      <c r="G296" s="1"/>
    </row>
    <row r="297" spans="3:7" ht="15.75" customHeight="1" x14ac:dyDescent="0.25">
      <c r="C297" s="1"/>
      <c r="D297" s="1"/>
      <c r="E297" s="1"/>
      <c r="F297" s="1"/>
      <c r="G297" s="1"/>
    </row>
    <row r="298" spans="3:7" ht="15.75" customHeight="1" x14ac:dyDescent="0.25">
      <c r="C298" s="1"/>
      <c r="D298" s="1"/>
      <c r="E298" s="1"/>
      <c r="F298" s="1"/>
      <c r="G298" s="1"/>
    </row>
    <row r="299" spans="3:7" ht="15.75" customHeight="1" x14ac:dyDescent="0.25">
      <c r="C299" s="1"/>
      <c r="D299" s="1"/>
      <c r="E299" s="1"/>
      <c r="F299" s="1"/>
      <c r="G299" s="1"/>
    </row>
    <row r="300" spans="3:7" ht="15.75" customHeight="1" x14ac:dyDescent="0.25">
      <c r="C300" s="1"/>
      <c r="D300" s="1"/>
      <c r="E300" s="1"/>
      <c r="F300" s="1"/>
      <c r="G300" s="1"/>
    </row>
    <row r="301" spans="3:7" ht="15.75" customHeight="1" x14ac:dyDescent="0.25">
      <c r="C301" s="1"/>
      <c r="D301" s="1"/>
      <c r="E301" s="1"/>
      <c r="F301" s="1"/>
      <c r="G301" s="1"/>
    </row>
    <row r="302" spans="3:7" ht="15.75" customHeight="1" x14ac:dyDescent="0.25">
      <c r="C302" s="1"/>
      <c r="D302" s="1"/>
      <c r="E302" s="1"/>
      <c r="F302" s="1"/>
      <c r="G302" s="1"/>
    </row>
    <row r="303" spans="3:7" ht="15.75" customHeight="1" x14ac:dyDescent="0.25">
      <c r="C303" s="1"/>
      <c r="D303" s="1"/>
      <c r="E303" s="1"/>
      <c r="F303" s="1"/>
      <c r="G303" s="1"/>
    </row>
    <row r="304" spans="3:7" ht="15.75" customHeight="1" x14ac:dyDescent="0.25">
      <c r="C304" s="1"/>
      <c r="D304" s="1"/>
      <c r="E304" s="1"/>
      <c r="F304" s="1"/>
      <c r="G304" s="1"/>
    </row>
    <row r="305" spans="3:7" ht="15.75" customHeight="1" x14ac:dyDescent="0.25">
      <c r="C305" s="1"/>
      <c r="D305" s="1"/>
      <c r="E305" s="1"/>
      <c r="F305" s="1"/>
      <c r="G305" s="1"/>
    </row>
    <row r="306" spans="3:7" ht="15.75" customHeight="1" x14ac:dyDescent="0.25">
      <c r="C306" s="1"/>
      <c r="D306" s="1"/>
      <c r="E306" s="1"/>
      <c r="F306" s="1"/>
      <c r="G306" s="1"/>
    </row>
    <row r="307" spans="3:7" ht="15.75" customHeight="1" x14ac:dyDescent="0.25">
      <c r="C307" s="1"/>
      <c r="D307" s="1"/>
      <c r="E307" s="1"/>
      <c r="F307" s="1"/>
      <c r="G307" s="1"/>
    </row>
    <row r="308" spans="3:7" ht="15.75" customHeight="1" x14ac:dyDescent="0.25">
      <c r="C308" s="1"/>
      <c r="D308" s="1"/>
      <c r="E308" s="1"/>
      <c r="F308" s="1"/>
      <c r="G308" s="1"/>
    </row>
    <row r="309" spans="3:7" ht="15.75" customHeight="1" x14ac:dyDescent="0.25">
      <c r="C309" s="1"/>
      <c r="D309" s="1"/>
      <c r="E309" s="1"/>
      <c r="F309" s="1"/>
      <c r="G309" s="1"/>
    </row>
    <row r="310" spans="3:7" ht="15.75" customHeight="1" x14ac:dyDescent="0.25">
      <c r="C310" s="1"/>
      <c r="D310" s="1"/>
      <c r="E310" s="1"/>
      <c r="F310" s="1"/>
      <c r="G310" s="1"/>
    </row>
    <row r="311" spans="3:7" ht="15.75" customHeight="1" x14ac:dyDescent="0.25">
      <c r="C311" s="1"/>
      <c r="D311" s="1"/>
      <c r="E311" s="1"/>
      <c r="F311" s="1"/>
      <c r="G311" s="1"/>
    </row>
    <row r="312" spans="3:7" ht="15.75" customHeight="1" x14ac:dyDescent="0.25">
      <c r="C312" s="1"/>
      <c r="D312" s="1"/>
      <c r="E312" s="1"/>
      <c r="F312" s="1"/>
      <c r="G312" s="1"/>
    </row>
    <row r="313" spans="3:7" ht="15.75" customHeight="1" x14ac:dyDescent="0.25">
      <c r="C313" s="1"/>
      <c r="D313" s="1"/>
      <c r="E313" s="1"/>
      <c r="F313" s="1"/>
      <c r="G313" s="1"/>
    </row>
    <row r="314" spans="3:7" ht="15.75" customHeight="1" x14ac:dyDescent="0.25">
      <c r="C314" s="1"/>
      <c r="D314" s="1"/>
      <c r="E314" s="1"/>
      <c r="F314" s="1"/>
      <c r="G314" s="1"/>
    </row>
    <row r="315" spans="3:7" ht="15.75" customHeight="1" x14ac:dyDescent="0.25">
      <c r="C315" s="1"/>
      <c r="D315" s="1"/>
      <c r="E315" s="1"/>
      <c r="F315" s="1"/>
      <c r="G315" s="1"/>
    </row>
    <row r="316" spans="3:7" ht="15.75" customHeight="1" x14ac:dyDescent="0.25">
      <c r="C316" s="1"/>
      <c r="D316" s="1"/>
      <c r="E316" s="1"/>
      <c r="F316" s="1"/>
      <c r="G316" s="1"/>
    </row>
    <row r="317" spans="3:7" ht="15.75" customHeight="1" x14ac:dyDescent="0.25">
      <c r="C317" s="1"/>
      <c r="D317" s="1"/>
      <c r="E317" s="1"/>
      <c r="F317" s="1"/>
      <c r="G317" s="1"/>
    </row>
    <row r="318" spans="3:7" ht="15.75" customHeight="1" x14ac:dyDescent="0.25">
      <c r="C318" s="1"/>
      <c r="D318" s="1"/>
      <c r="E318" s="1"/>
      <c r="F318" s="1"/>
      <c r="G318" s="1"/>
    </row>
    <row r="319" spans="3:7" ht="15.75" customHeight="1" x14ac:dyDescent="0.25">
      <c r="C319" s="1"/>
      <c r="D319" s="1"/>
      <c r="E319" s="1"/>
      <c r="F319" s="1"/>
      <c r="G319" s="1"/>
    </row>
    <row r="320" spans="3:7" ht="15.75" customHeight="1" x14ac:dyDescent="0.25">
      <c r="C320" s="1"/>
      <c r="D320" s="1"/>
      <c r="E320" s="1"/>
      <c r="F320" s="1"/>
      <c r="G320" s="1"/>
    </row>
    <row r="321" spans="3:7" ht="15.75" customHeight="1" x14ac:dyDescent="0.25">
      <c r="C321" s="1"/>
      <c r="D321" s="1"/>
      <c r="E321" s="1"/>
      <c r="F321" s="1"/>
      <c r="G321" s="1"/>
    </row>
    <row r="322" spans="3:7" ht="15.75" customHeight="1" x14ac:dyDescent="0.25">
      <c r="C322" s="1"/>
      <c r="D322" s="1"/>
      <c r="E322" s="1"/>
      <c r="F322" s="1"/>
      <c r="G322" s="1"/>
    </row>
    <row r="323" spans="3:7" ht="15.75" customHeight="1" x14ac:dyDescent="0.25">
      <c r="C323" s="1"/>
      <c r="D323" s="1"/>
      <c r="E323" s="1"/>
      <c r="F323" s="1"/>
      <c r="G323" s="1"/>
    </row>
    <row r="324" spans="3:7" ht="15.75" customHeight="1" x14ac:dyDescent="0.25">
      <c r="C324" s="1"/>
      <c r="D324" s="1"/>
      <c r="E324" s="1"/>
      <c r="F324" s="1"/>
      <c r="G324" s="1"/>
    </row>
    <row r="325" spans="3:7" ht="15.75" customHeight="1" x14ac:dyDescent="0.25">
      <c r="C325" s="1"/>
      <c r="D325" s="1"/>
      <c r="E325" s="1"/>
      <c r="F325" s="1"/>
      <c r="G325" s="1"/>
    </row>
    <row r="326" spans="3:7" ht="15.75" customHeight="1" x14ac:dyDescent="0.25">
      <c r="C326" s="1"/>
      <c r="D326" s="1"/>
      <c r="E326" s="1"/>
      <c r="F326" s="1"/>
      <c r="G326" s="1"/>
    </row>
    <row r="327" spans="3:7" ht="15.75" customHeight="1" x14ac:dyDescent="0.25">
      <c r="C327" s="1"/>
      <c r="D327" s="1"/>
      <c r="E327" s="1"/>
      <c r="F327" s="1"/>
      <c r="G327" s="1"/>
    </row>
    <row r="328" spans="3:7" ht="15.75" customHeight="1" x14ac:dyDescent="0.25">
      <c r="C328" s="1"/>
      <c r="D328" s="1"/>
      <c r="E328" s="1"/>
      <c r="F328" s="1"/>
      <c r="G328" s="1"/>
    </row>
    <row r="329" spans="3:7" ht="15.75" customHeight="1" x14ac:dyDescent="0.25">
      <c r="C329" s="1"/>
      <c r="D329" s="1"/>
      <c r="E329" s="1"/>
      <c r="F329" s="1"/>
      <c r="G329" s="1"/>
    </row>
    <row r="330" spans="3:7" ht="15.75" customHeight="1" x14ac:dyDescent="0.25">
      <c r="C330" s="1"/>
      <c r="D330" s="1"/>
      <c r="E330" s="1"/>
      <c r="F330" s="1"/>
      <c r="G330" s="1"/>
    </row>
    <row r="331" spans="3:7" ht="15.75" customHeight="1" x14ac:dyDescent="0.25">
      <c r="C331" s="1"/>
      <c r="D331" s="1"/>
      <c r="E331" s="1"/>
      <c r="F331" s="1"/>
      <c r="G331" s="1"/>
    </row>
    <row r="332" spans="3:7" ht="15.75" customHeight="1" x14ac:dyDescent="0.25">
      <c r="C332" s="1"/>
      <c r="D332" s="1"/>
      <c r="E332" s="1"/>
      <c r="F332" s="1"/>
      <c r="G332" s="1"/>
    </row>
    <row r="333" spans="3:7" ht="15.75" customHeight="1" x14ac:dyDescent="0.25">
      <c r="C333" s="1"/>
      <c r="D333" s="1"/>
      <c r="E333" s="1"/>
      <c r="F333" s="1"/>
      <c r="G333" s="1"/>
    </row>
    <row r="334" spans="3:7" ht="15.75" customHeight="1" x14ac:dyDescent="0.25">
      <c r="C334" s="1"/>
      <c r="D334" s="1"/>
      <c r="E334" s="1"/>
      <c r="F334" s="1"/>
      <c r="G334" s="1"/>
    </row>
    <row r="335" spans="3:7" ht="15.75" customHeight="1" x14ac:dyDescent="0.25">
      <c r="C335" s="1"/>
      <c r="D335" s="1"/>
      <c r="E335" s="1"/>
      <c r="F335" s="1"/>
      <c r="G335" s="1"/>
    </row>
    <row r="336" spans="3:7" ht="15.75" customHeight="1" x14ac:dyDescent="0.25">
      <c r="C336" s="1"/>
      <c r="D336" s="1"/>
      <c r="E336" s="1"/>
      <c r="F336" s="1"/>
      <c r="G336" s="1"/>
    </row>
    <row r="337" spans="3:7" ht="15.75" customHeight="1" x14ac:dyDescent="0.25">
      <c r="C337" s="1"/>
      <c r="D337" s="1"/>
      <c r="E337" s="1"/>
      <c r="F337" s="1"/>
      <c r="G337" s="1"/>
    </row>
    <row r="338" spans="3:7" ht="15.75" customHeight="1" x14ac:dyDescent="0.25">
      <c r="C338" s="1"/>
      <c r="D338" s="1"/>
      <c r="E338" s="1"/>
      <c r="F338" s="1"/>
      <c r="G338" s="1"/>
    </row>
    <row r="339" spans="3:7" ht="15.75" customHeight="1" x14ac:dyDescent="0.25">
      <c r="C339" s="1"/>
      <c r="D339" s="1"/>
      <c r="E339" s="1"/>
      <c r="F339" s="1"/>
      <c r="G339" s="1"/>
    </row>
    <row r="340" spans="3:7" ht="15.75" customHeight="1" x14ac:dyDescent="0.25">
      <c r="C340" s="1"/>
      <c r="D340" s="1"/>
      <c r="E340" s="1"/>
      <c r="F340" s="1"/>
      <c r="G340" s="1"/>
    </row>
    <row r="341" spans="3:7" ht="15.75" customHeight="1" x14ac:dyDescent="0.25">
      <c r="C341" s="1"/>
      <c r="D341" s="1"/>
      <c r="E341" s="1"/>
      <c r="F341" s="1"/>
      <c r="G341" s="1"/>
    </row>
    <row r="342" spans="3:7" ht="15.75" customHeight="1" x14ac:dyDescent="0.25">
      <c r="C342" s="1"/>
      <c r="D342" s="1"/>
      <c r="E342" s="1"/>
      <c r="F342" s="1"/>
      <c r="G342" s="1"/>
    </row>
    <row r="343" spans="3:7" ht="15.75" customHeight="1" x14ac:dyDescent="0.25">
      <c r="C343" s="1"/>
      <c r="D343" s="1"/>
      <c r="E343" s="1"/>
      <c r="F343" s="1"/>
      <c r="G343" s="1"/>
    </row>
    <row r="344" spans="3:7" ht="15.75" customHeight="1" x14ac:dyDescent="0.25">
      <c r="C344" s="1"/>
      <c r="D344" s="1"/>
      <c r="E344" s="1"/>
      <c r="F344" s="1"/>
      <c r="G344" s="1"/>
    </row>
    <row r="345" spans="3:7" ht="15.75" customHeight="1" x14ac:dyDescent="0.25">
      <c r="C345" s="1"/>
      <c r="D345" s="1"/>
      <c r="E345" s="1"/>
      <c r="F345" s="1"/>
      <c r="G345" s="1"/>
    </row>
    <row r="346" spans="3:7" ht="15.75" customHeight="1" x14ac:dyDescent="0.25">
      <c r="C346" s="1"/>
      <c r="D346" s="1"/>
      <c r="E346" s="1"/>
      <c r="F346" s="1"/>
      <c r="G346" s="1"/>
    </row>
    <row r="347" spans="3:7" ht="15.75" customHeight="1" x14ac:dyDescent="0.25">
      <c r="C347" s="1"/>
      <c r="D347" s="1"/>
      <c r="E347" s="1"/>
      <c r="F347" s="1"/>
      <c r="G347" s="1"/>
    </row>
    <row r="348" spans="3:7" ht="15.75" customHeight="1" x14ac:dyDescent="0.25">
      <c r="C348" s="1"/>
      <c r="D348" s="1"/>
      <c r="E348" s="1"/>
      <c r="F348" s="1"/>
      <c r="G348" s="1"/>
    </row>
    <row r="349" spans="3:7" ht="15.75" customHeight="1" x14ac:dyDescent="0.25">
      <c r="C349" s="1"/>
      <c r="D349" s="1"/>
      <c r="E349" s="1"/>
      <c r="F349" s="1"/>
      <c r="G349" s="1"/>
    </row>
    <row r="350" spans="3:7" ht="15.75" customHeight="1" x14ac:dyDescent="0.25">
      <c r="C350" s="1"/>
      <c r="D350" s="1"/>
      <c r="E350" s="1"/>
      <c r="F350" s="1"/>
      <c r="G350" s="1"/>
    </row>
    <row r="351" spans="3:7" ht="15.75" customHeight="1" x14ac:dyDescent="0.25">
      <c r="C351" s="1"/>
      <c r="D351" s="1"/>
      <c r="E351" s="1"/>
      <c r="F351" s="1"/>
      <c r="G351" s="1"/>
    </row>
    <row r="352" spans="3:7" ht="15.75" customHeight="1" x14ac:dyDescent="0.25">
      <c r="C352" s="1"/>
      <c r="D352" s="1"/>
      <c r="E352" s="1"/>
      <c r="F352" s="1"/>
      <c r="G352" s="1"/>
    </row>
    <row r="353" spans="3:7" ht="15.75" customHeight="1" x14ac:dyDescent="0.25">
      <c r="C353" s="1"/>
      <c r="D353" s="1"/>
      <c r="E353" s="1"/>
      <c r="F353" s="1"/>
      <c r="G353" s="1"/>
    </row>
    <row r="354" spans="3:7" ht="15.75" customHeight="1" x14ac:dyDescent="0.25">
      <c r="C354" s="1"/>
      <c r="D354" s="1"/>
      <c r="E354" s="1"/>
      <c r="F354" s="1"/>
      <c r="G354" s="1"/>
    </row>
    <row r="355" spans="3:7" ht="15.75" customHeight="1" x14ac:dyDescent="0.25">
      <c r="C355" s="1"/>
      <c r="D355" s="1"/>
      <c r="E355" s="1"/>
      <c r="F355" s="1"/>
      <c r="G355" s="1"/>
    </row>
    <row r="356" spans="3:7" ht="15.75" customHeight="1" x14ac:dyDescent="0.25">
      <c r="C356" s="1"/>
      <c r="D356" s="1"/>
      <c r="E356" s="1"/>
      <c r="F356" s="1"/>
      <c r="G356" s="1"/>
    </row>
    <row r="357" spans="3:7" ht="15.75" customHeight="1" x14ac:dyDescent="0.25">
      <c r="C357" s="1"/>
      <c r="D357" s="1"/>
      <c r="E357" s="1"/>
      <c r="F357" s="1"/>
      <c r="G357" s="1"/>
    </row>
    <row r="358" spans="3:7" ht="15.75" customHeight="1" x14ac:dyDescent="0.25">
      <c r="C358" s="1"/>
      <c r="D358" s="1"/>
      <c r="E358" s="1"/>
      <c r="F358" s="1"/>
      <c r="G358" s="1"/>
    </row>
    <row r="359" spans="3:7" ht="15.75" customHeight="1" x14ac:dyDescent="0.25">
      <c r="C359" s="1"/>
      <c r="D359" s="1"/>
      <c r="E359" s="1"/>
      <c r="F359" s="1"/>
      <c r="G359" s="1"/>
    </row>
    <row r="360" spans="3:7" ht="15.75" customHeight="1" x14ac:dyDescent="0.25">
      <c r="C360" s="1"/>
      <c r="D360" s="1"/>
      <c r="E360" s="1"/>
      <c r="F360" s="1"/>
      <c r="G360" s="1"/>
    </row>
    <row r="361" spans="3:7" ht="15.75" customHeight="1" x14ac:dyDescent="0.25">
      <c r="C361" s="1"/>
      <c r="D361" s="1"/>
      <c r="E361" s="1"/>
      <c r="F361" s="1"/>
      <c r="G361" s="1"/>
    </row>
    <row r="362" spans="3:7" ht="15.75" customHeight="1" x14ac:dyDescent="0.25">
      <c r="C362" s="1"/>
      <c r="D362" s="1"/>
      <c r="E362" s="1"/>
      <c r="F362" s="1"/>
      <c r="G362" s="1"/>
    </row>
    <row r="363" spans="3:7" ht="15.75" customHeight="1" x14ac:dyDescent="0.25">
      <c r="C363" s="1"/>
      <c r="D363" s="1"/>
      <c r="E363" s="1"/>
      <c r="F363" s="1"/>
      <c r="G363" s="1"/>
    </row>
    <row r="364" spans="3:7" ht="15.75" customHeight="1" x14ac:dyDescent="0.25">
      <c r="C364" s="1"/>
      <c r="D364" s="1"/>
      <c r="E364" s="1"/>
      <c r="F364" s="1"/>
      <c r="G364" s="1"/>
    </row>
    <row r="365" spans="3:7" ht="15.75" customHeight="1" x14ac:dyDescent="0.25">
      <c r="C365" s="1"/>
      <c r="D365" s="1"/>
      <c r="E365" s="1"/>
      <c r="F365" s="1"/>
      <c r="G365" s="1"/>
    </row>
    <row r="366" spans="3:7" ht="15.75" customHeight="1" x14ac:dyDescent="0.25">
      <c r="C366" s="1"/>
      <c r="D366" s="1"/>
      <c r="E366" s="1"/>
      <c r="F366" s="1"/>
      <c r="G366" s="1"/>
    </row>
    <row r="367" spans="3:7" ht="15.75" customHeight="1" x14ac:dyDescent="0.25">
      <c r="C367" s="1"/>
      <c r="D367" s="1"/>
      <c r="E367" s="1"/>
      <c r="F367" s="1"/>
      <c r="G367" s="1"/>
    </row>
    <row r="368" spans="3:7" ht="15.75" customHeight="1" x14ac:dyDescent="0.25">
      <c r="C368" s="1"/>
      <c r="D368" s="1"/>
      <c r="E368" s="1"/>
      <c r="F368" s="1"/>
      <c r="G368" s="1"/>
    </row>
    <row r="369" spans="3:7" ht="15.75" customHeight="1" x14ac:dyDescent="0.25">
      <c r="C369" s="1"/>
      <c r="D369" s="1"/>
      <c r="E369" s="1"/>
      <c r="F369" s="1"/>
      <c r="G369" s="1"/>
    </row>
    <row r="370" spans="3:7" ht="15.75" customHeight="1" x14ac:dyDescent="0.25">
      <c r="C370" s="1"/>
      <c r="D370" s="1"/>
      <c r="E370" s="1"/>
      <c r="F370" s="1"/>
      <c r="G370" s="1"/>
    </row>
    <row r="371" spans="3:7" ht="15.75" customHeight="1" x14ac:dyDescent="0.25">
      <c r="C371" s="1"/>
      <c r="D371" s="1"/>
      <c r="E371" s="1"/>
      <c r="F371" s="1"/>
      <c r="G371" s="1"/>
    </row>
    <row r="372" spans="3:7" ht="15.75" customHeight="1" x14ac:dyDescent="0.25">
      <c r="C372" s="1"/>
      <c r="D372" s="1"/>
      <c r="E372" s="1"/>
      <c r="F372" s="1"/>
      <c r="G372" s="1"/>
    </row>
    <row r="373" spans="3:7" ht="15.75" customHeight="1" x14ac:dyDescent="0.25">
      <c r="C373" s="1"/>
      <c r="D373" s="1"/>
      <c r="E373" s="1"/>
      <c r="F373" s="1"/>
      <c r="G373" s="1"/>
    </row>
    <row r="374" spans="3:7" ht="15.75" customHeight="1" x14ac:dyDescent="0.25">
      <c r="C374" s="1"/>
      <c r="D374" s="1"/>
      <c r="E374" s="1"/>
      <c r="F374" s="1"/>
      <c r="G374" s="1"/>
    </row>
    <row r="375" spans="3:7" ht="15.75" customHeight="1" x14ac:dyDescent="0.25">
      <c r="C375" s="1"/>
      <c r="D375" s="1"/>
      <c r="E375" s="1"/>
      <c r="F375" s="1"/>
      <c r="G375" s="1"/>
    </row>
    <row r="376" spans="3:7" ht="15.75" customHeight="1" x14ac:dyDescent="0.25">
      <c r="C376" s="1"/>
      <c r="D376" s="1"/>
      <c r="E376" s="1"/>
      <c r="F376" s="1"/>
      <c r="G376" s="1"/>
    </row>
    <row r="377" spans="3:7" ht="15.75" customHeight="1" x14ac:dyDescent="0.25">
      <c r="C377" s="1"/>
      <c r="D377" s="1"/>
      <c r="E377" s="1"/>
      <c r="F377" s="1"/>
      <c r="G377" s="1"/>
    </row>
    <row r="378" spans="3:7" ht="15.75" customHeight="1" x14ac:dyDescent="0.25">
      <c r="C378" s="1"/>
      <c r="D378" s="1"/>
      <c r="E378" s="1"/>
      <c r="F378" s="1"/>
      <c r="G378" s="1"/>
    </row>
    <row r="379" spans="3:7" ht="15.75" customHeight="1" x14ac:dyDescent="0.25">
      <c r="C379" s="1"/>
      <c r="D379" s="1"/>
      <c r="E379" s="1"/>
      <c r="F379" s="1"/>
      <c r="G379" s="1"/>
    </row>
    <row r="380" spans="3:7" ht="15.75" customHeight="1" x14ac:dyDescent="0.25">
      <c r="C380" s="1"/>
      <c r="D380" s="1"/>
      <c r="E380" s="1"/>
      <c r="F380" s="1"/>
      <c r="G380" s="1"/>
    </row>
    <row r="381" spans="3:7" ht="15.75" customHeight="1" x14ac:dyDescent="0.25">
      <c r="C381" s="1"/>
      <c r="D381" s="1"/>
      <c r="E381" s="1"/>
      <c r="F381" s="1"/>
      <c r="G381" s="1"/>
    </row>
    <row r="382" spans="3:7" ht="15.75" customHeight="1" x14ac:dyDescent="0.25">
      <c r="C382" s="1"/>
      <c r="D382" s="1"/>
      <c r="E382" s="1"/>
      <c r="F382" s="1"/>
      <c r="G382" s="1"/>
    </row>
    <row r="383" spans="3:7" ht="15.75" customHeight="1" x14ac:dyDescent="0.25">
      <c r="C383" s="1"/>
      <c r="D383" s="1"/>
      <c r="E383" s="1"/>
      <c r="F383" s="1"/>
      <c r="G383" s="1"/>
    </row>
    <row r="384" spans="3:7" ht="15.75" customHeight="1" x14ac:dyDescent="0.25">
      <c r="C384" s="1"/>
      <c r="D384" s="1"/>
      <c r="E384" s="1"/>
      <c r="F384" s="1"/>
      <c r="G384" s="1"/>
    </row>
    <row r="385" spans="3:7" ht="15.75" customHeight="1" x14ac:dyDescent="0.25">
      <c r="C385" s="1"/>
      <c r="D385" s="1"/>
      <c r="E385" s="1"/>
      <c r="F385" s="1"/>
      <c r="G385" s="1"/>
    </row>
    <row r="386" spans="3:7" ht="15.75" customHeight="1" x14ac:dyDescent="0.25">
      <c r="C386" s="1"/>
      <c r="D386" s="1"/>
      <c r="E386" s="1"/>
      <c r="F386" s="1"/>
      <c r="G386" s="1"/>
    </row>
    <row r="387" spans="3:7" ht="15.75" customHeight="1" x14ac:dyDescent="0.25">
      <c r="C387" s="1"/>
      <c r="D387" s="1"/>
      <c r="E387" s="1"/>
      <c r="F387" s="1"/>
      <c r="G387" s="1"/>
    </row>
    <row r="388" spans="3:7" ht="15.75" customHeight="1" x14ac:dyDescent="0.25">
      <c r="C388" s="1"/>
      <c r="D388" s="1"/>
      <c r="E388" s="1"/>
      <c r="F388" s="1"/>
      <c r="G388" s="1"/>
    </row>
    <row r="389" spans="3:7" ht="15.75" customHeight="1" x14ac:dyDescent="0.25">
      <c r="C389" s="1"/>
      <c r="D389" s="1"/>
      <c r="E389" s="1"/>
      <c r="F389" s="1"/>
      <c r="G389" s="1"/>
    </row>
    <row r="390" spans="3:7" ht="15.75" customHeight="1" x14ac:dyDescent="0.25">
      <c r="C390" s="1"/>
      <c r="D390" s="1"/>
      <c r="E390" s="1"/>
      <c r="F390" s="1"/>
      <c r="G390" s="1"/>
    </row>
    <row r="391" spans="3:7" ht="15.75" customHeight="1" x14ac:dyDescent="0.25">
      <c r="C391" s="1"/>
      <c r="D391" s="1"/>
      <c r="E391" s="1"/>
      <c r="F391" s="1"/>
      <c r="G391" s="1"/>
    </row>
    <row r="392" spans="3:7" ht="15.75" customHeight="1" x14ac:dyDescent="0.25">
      <c r="C392" s="1"/>
      <c r="D392" s="1"/>
      <c r="E392" s="1"/>
      <c r="F392" s="1"/>
      <c r="G392" s="1"/>
    </row>
    <row r="393" spans="3:7" ht="15.75" customHeight="1" x14ac:dyDescent="0.25">
      <c r="C393" s="1"/>
      <c r="D393" s="1"/>
      <c r="E393" s="1"/>
      <c r="F393" s="1"/>
      <c r="G393" s="1"/>
    </row>
    <row r="394" spans="3:7" ht="15.75" customHeight="1" x14ac:dyDescent="0.25">
      <c r="C394" s="1"/>
      <c r="D394" s="1"/>
      <c r="E394" s="1"/>
      <c r="F394" s="1"/>
      <c r="G394" s="1"/>
    </row>
    <row r="395" spans="3:7" ht="15.75" customHeight="1" x14ac:dyDescent="0.25">
      <c r="C395" s="1"/>
      <c r="D395" s="1"/>
      <c r="E395" s="1"/>
      <c r="F395" s="1"/>
      <c r="G395" s="1"/>
    </row>
    <row r="396" spans="3:7" ht="15.75" customHeight="1" x14ac:dyDescent="0.25">
      <c r="C396" s="1"/>
      <c r="D396" s="1"/>
      <c r="E396" s="1"/>
      <c r="F396" s="1"/>
      <c r="G396" s="1"/>
    </row>
    <row r="397" spans="3:7" ht="15.75" customHeight="1" x14ac:dyDescent="0.25">
      <c r="C397" s="1"/>
      <c r="D397" s="1"/>
      <c r="E397" s="1"/>
      <c r="F397" s="1"/>
      <c r="G397" s="1"/>
    </row>
    <row r="398" spans="3:7" ht="15.75" customHeight="1" x14ac:dyDescent="0.25">
      <c r="C398" s="1"/>
      <c r="D398" s="1"/>
      <c r="E398" s="1"/>
      <c r="F398" s="1"/>
      <c r="G398" s="1"/>
    </row>
    <row r="399" spans="3:7" ht="15.75" customHeight="1" x14ac:dyDescent="0.25">
      <c r="C399" s="1"/>
      <c r="D399" s="1"/>
      <c r="E399" s="1"/>
      <c r="F399" s="1"/>
      <c r="G399" s="1"/>
    </row>
    <row r="400" spans="3:7" ht="15.75" customHeight="1" x14ac:dyDescent="0.25">
      <c r="C400" s="1"/>
      <c r="D400" s="1"/>
      <c r="E400" s="1"/>
      <c r="F400" s="1"/>
      <c r="G400" s="1"/>
    </row>
    <row r="401" spans="3:7" ht="15.75" customHeight="1" x14ac:dyDescent="0.25">
      <c r="C401" s="1"/>
      <c r="D401" s="1"/>
      <c r="E401" s="1"/>
      <c r="F401" s="1"/>
      <c r="G401" s="1"/>
    </row>
    <row r="402" spans="3:7" ht="15.75" customHeight="1" x14ac:dyDescent="0.25">
      <c r="C402" s="1"/>
      <c r="D402" s="1"/>
      <c r="E402" s="1"/>
      <c r="F402" s="1"/>
      <c r="G402" s="1"/>
    </row>
    <row r="403" spans="3:7" ht="15.75" customHeight="1" x14ac:dyDescent="0.25">
      <c r="C403" s="1"/>
      <c r="D403" s="1"/>
      <c r="E403" s="1"/>
      <c r="F403" s="1"/>
      <c r="G403" s="1"/>
    </row>
    <row r="404" spans="3:7" ht="15.75" customHeight="1" x14ac:dyDescent="0.25">
      <c r="C404" s="1"/>
      <c r="D404" s="1"/>
      <c r="E404" s="1"/>
      <c r="F404" s="1"/>
      <c r="G404" s="1"/>
    </row>
    <row r="405" spans="3:7" ht="15.75" customHeight="1" x14ac:dyDescent="0.25">
      <c r="C405" s="1"/>
      <c r="D405" s="1"/>
      <c r="E405" s="1"/>
      <c r="F405" s="1"/>
      <c r="G405" s="1"/>
    </row>
    <row r="406" spans="3:7" ht="15.75" customHeight="1" x14ac:dyDescent="0.25">
      <c r="C406" s="1"/>
      <c r="D406" s="1"/>
      <c r="E406" s="1"/>
      <c r="F406" s="1"/>
      <c r="G406" s="1"/>
    </row>
    <row r="407" spans="3:7" ht="15.75" customHeight="1" x14ac:dyDescent="0.25">
      <c r="C407" s="1"/>
      <c r="D407" s="1"/>
      <c r="E407" s="1"/>
      <c r="F407" s="1"/>
      <c r="G407" s="1"/>
    </row>
    <row r="408" spans="3:7" ht="15.75" customHeight="1" x14ac:dyDescent="0.25">
      <c r="C408" s="1"/>
      <c r="D408" s="1"/>
      <c r="E408" s="1"/>
      <c r="F408" s="1"/>
      <c r="G408" s="1"/>
    </row>
    <row r="409" spans="3:7" ht="15.75" customHeight="1" x14ac:dyDescent="0.25">
      <c r="C409" s="1"/>
      <c r="D409" s="1"/>
      <c r="E409" s="1"/>
      <c r="F409" s="1"/>
      <c r="G409" s="1"/>
    </row>
    <row r="410" spans="3:7" ht="15.75" customHeight="1" x14ac:dyDescent="0.25">
      <c r="C410" s="1"/>
      <c r="D410" s="1"/>
      <c r="E410" s="1"/>
      <c r="F410" s="1"/>
      <c r="G410" s="1"/>
    </row>
    <row r="411" spans="3:7" ht="15.75" customHeight="1" x14ac:dyDescent="0.25">
      <c r="C411" s="1"/>
      <c r="D411" s="1"/>
      <c r="E411" s="1"/>
      <c r="F411" s="1"/>
      <c r="G411" s="1"/>
    </row>
    <row r="412" spans="3:7" ht="15.75" customHeight="1" x14ac:dyDescent="0.25">
      <c r="C412" s="1"/>
      <c r="D412" s="1"/>
      <c r="E412" s="1"/>
      <c r="F412" s="1"/>
      <c r="G412" s="1"/>
    </row>
    <row r="413" spans="3:7" ht="15.75" customHeight="1" x14ac:dyDescent="0.25">
      <c r="C413" s="1"/>
      <c r="D413" s="1"/>
      <c r="E413" s="1"/>
      <c r="F413" s="1"/>
      <c r="G413" s="1"/>
    </row>
    <row r="414" spans="3:7" ht="15.75" customHeight="1" x14ac:dyDescent="0.25">
      <c r="C414" s="1"/>
      <c r="D414" s="1"/>
      <c r="E414" s="1"/>
      <c r="F414" s="1"/>
      <c r="G414" s="1"/>
    </row>
    <row r="415" spans="3:7" ht="15.75" customHeight="1" x14ac:dyDescent="0.25">
      <c r="C415" s="1"/>
      <c r="D415" s="1"/>
      <c r="E415" s="1"/>
      <c r="F415" s="1"/>
      <c r="G415" s="1"/>
    </row>
    <row r="416" spans="3:7" ht="15.75" customHeight="1" x14ac:dyDescent="0.25">
      <c r="C416" s="1"/>
      <c r="D416" s="1"/>
      <c r="E416" s="1"/>
      <c r="F416" s="1"/>
      <c r="G416" s="1"/>
    </row>
    <row r="417" spans="3:7" ht="15.75" customHeight="1" x14ac:dyDescent="0.25">
      <c r="C417" s="1"/>
      <c r="D417" s="1"/>
      <c r="E417" s="1"/>
      <c r="F417" s="1"/>
      <c r="G417" s="1"/>
    </row>
    <row r="418" spans="3:7" ht="15.75" customHeight="1" x14ac:dyDescent="0.25">
      <c r="C418" s="1"/>
      <c r="D418" s="1"/>
      <c r="E418" s="1"/>
      <c r="F418" s="1"/>
      <c r="G418" s="1"/>
    </row>
    <row r="419" spans="3:7" ht="15.75" customHeight="1" x14ac:dyDescent="0.25">
      <c r="C419" s="1"/>
      <c r="D419" s="1"/>
      <c r="E419" s="1"/>
      <c r="F419" s="1"/>
      <c r="G419" s="1"/>
    </row>
    <row r="420" spans="3:7" ht="15.75" customHeight="1" x14ac:dyDescent="0.25">
      <c r="C420" s="1"/>
      <c r="D420" s="1"/>
      <c r="E420" s="1"/>
      <c r="F420" s="1"/>
      <c r="G420" s="1"/>
    </row>
    <row r="421" spans="3:7" ht="15.75" customHeight="1" x14ac:dyDescent="0.25">
      <c r="C421" s="1"/>
      <c r="D421" s="1"/>
      <c r="E421" s="1"/>
      <c r="F421" s="1"/>
      <c r="G421" s="1"/>
    </row>
    <row r="422" spans="3:7" ht="15.75" customHeight="1" x14ac:dyDescent="0.25">
      <c r="C422" s="1"/>
      <c r="D422" s="1"/>
      <c r="E422" s="1"/>
      <c r="F422" s="1"/>
      <c r="G422" s="1"/>
    </row>
    <row r="423" spans="3:7" ht="15.75" customHeight="1" x14ac:dyDescent="0.25">
      <c r="C423" s="1"/>
      <c r="D423" s="1"/>
      <c r="E423" s="1"/>
      <c r="F423" s="1"/>
      <c r="G423" s="1"/>
    </row>
    <row r="424" spans="3:7" ht="15.75" customHeight="1" x14ac:dyDescent="0.25">
      <c r="C424" s="1"/>
      <c r="D424" s="1"/>
      <c r="E424" s="1"/>
      <c r="F424" s="1"/>
      <c r="G424" s="1"/>
    </row>
    <row r="425" spans="3:7" ht="15.75" customHeight="1" x14ac:dyDescent="0.25">
      <c r="C425" s="1"/>
      <c r="D425" s="1"/>
      <c r="E425" s="1"/>
      <c r="F425" s="1"/>
      <c r="G425" s="1"/>
    </row>
    <row r="426" spans="3:7" ht="15.75" customHeight="1" x14ac:dyDescent="0.25">
      <c r="C426" s="1"/>
      <c r="D426" s="1"/>
      <c r="E426" s="1"/>
      <c r="F426" s="1"/>
      <c r="G426" s="1"/>
    </row>
    <row r="427" spans="3:7" ht="15.75" customHeight="1" x14ac:dyDescent="0.25">
      <c r="C427" s="1"/>
      <c r="D427" s="1"/>
      <c r="E427" s="1"/>
      <c r="F427" s="1"/>
      <c r="G427" s="1"/>
    </row>
    <row r="428" spans="3:7" ht="15.75" customHeight="1" x14ac:dyDescent="0.25">
      <c r="C428" s="1"/>
      <c r="D428" s="1"/>
      <c r="E428" s="1"/>
      <c r="F428" s="1"/>
      <c r="G428" s="1"/>
    </row>
    <row r="429" spans="3:7" ht="15.75" customHeight="1" x14ac:dyDescent="0.25">
      <c r="C429" s="1"/>
      <c r="D429" s="1"/>
      <c r="E429" s="1"/>
      <c r="F429" s="1"/>
      <c r="G429" s="1"/>
    </row>
    <row r="430" spans="3:7" ht="15.75" customHeight="1" x14ac:dyDescent="0.25">
      <c r="C430" s="1"/>
      <c r="D430" s="1"/>
      <c r="E430" s="1"/>
      <c r="F430" s="1"/>
      <c r="G430" s="1"/>
    </row>
    <row r="431" spans="3:7" ht="15.75" customHeight="1" x14ac:dyDescent="0.25">
      <c r="C431" s="1"/>
      <c r="D431" s="1"/>
      <c r="E431" s="1"/>
      <c r="F431" s="1"/>
      <c r="G431" s="1"/>
    </row>
    <row r="432" spans="3:7" ht="15.75" customHeight="1" x14ac:dyDescent="0.25">
      <c r="C432" s="1"/>
      <c r="D432" s="1"/>
      <c r="E432" s="1"/>
      <c r="F432" s="1"/>
      <c r="G432" s="1"/>
    </row>
    <row r="433" spans="3:7" ht="15.75" customHeight="1" x14ac:dyDescent="0.25">
      <c r="C433" s="1"/>
      <c r="D433" s="1"/>
      <c r="E433" s="1"/>
      <c r="F433" s="1"/>
      <c r="G433" s="1"/>
    </row>
    <row r="434" spans="3:7" ht="15.75" customHeight="1" x14ac:dyDescent="0.25">
      <c r="C434" s="1"/>
      <c r="D434" s="1"/>
      <c r="E434" s="1"/>
      <c r="F434" s="1"/>
      <c r="G434" s="1"/>
    </row>
    <row r="435" spans="3:7" ht="15.75" customHeight="1" x14ac:dyDescent="0.25">
      <c r="C435" s="1"/>
      <c r="D435" s="1"/>
      <c r="E435" s="1"/>
      <c r="F435" s="1"/>
      <c r="G435" s="1"/>
    </row>
    <row r="436" spans="3:7" ht="15.75" customHeight="1" x14ac:dyDescent="0.25">
      <c r="C436" s="1"/>
      <c r="D436" s="1"/>
      <c r="E436" s="1"/>
      <c r="F436" s="1"/>
      <c r="G436" s="1"/>
    </row>
    <row r="437" spans="3:7" ht="15.75" customHeight="1" x14ac:dyDescent="0.25">
      <c r="C437" s="1"/>
      <c r="D437" s="1"/>
      <c r="E437" s="1"/>
      <c r="F437" s="1"/>
      <c r="G437" s="1"/>
    </row>
    <row r="438" spans="3:7" ht="15.75" customHeight="1" x14ac:dyDescent="0.25">
      <c r="C438" s="1"/>
      <c r="D438" s="1"/>
      <c r="E438" s="1"/>
      <c r="F438" s="1"/>
      <c r="G438" s="1"/>
    </row>
    <row r="439" spans="3:7" ht="15.75" customHeight="1" x14ac:dyDescent="0.25">
      <c r="C439" s="1"/>
      <c r="D439" s="1"/>
      <c r="E439" s="1"/>
      <c r="F439" s="1"/>
      <c r="G439" s="1"/>
    </row>
    <row r="440" spans="3:7" ht="15.75" customHeight="1" x14ac:dyDescent="0.25">
      <c r="C440" s="1"/>
      <c r="D440" s="1"/>
      <c r="E440" s="1"/>
      <c r="F440" s="1"/>
      <c r="G440" s="1"/>
    </row>
    <row r="441" spans="3:7" ht="15.75" customHeight="1" x14ac:dyDescent="0.25">
      <c r="C441" s="1"/>
      <c r="D441" s="1"/>
      <c r="E441" s="1"/>
      <c r="F441" s="1"/>
      <c r="G441" s="1"/>
    </row>
    <row r="442" spans="3:7" ht="15.75" customHeight="1" x14ac:dyDescent="0.25">
      <c r="C442" s="1"/>
      <c r="D442" s="1"/>
      <c r="E442" s="1"/>
      <c r="F442" s="1"/>
      <c r="G442" s="1"/>
    </row>
    <row r="443" spans="3:7" ht="15.75" customHeight="1" x14ac:dyDescent="0.25">
      <c r="C443" s="1"/>
      <c r="D443" s="1"/>
      <c r="E443" s="1"/>
      <c r="F443" s="1"/>
      <c r="G443" s="1"/>
    </row>
    <row r="444" spans="3:7" ht="15.75" customHeight="1" x14ac:dyDescent="0.25">
      <c r="C444" s="1"/>
      <c r="D444" s="1"/>
      <c r="E444" s="1"/>
      <c r="F444" s="1"/>
      <c r="G444" s="1"/>
    </row>
    <row r="445" spans="3:7" ht="15.75" customHeight="1" x14ac:dyDescent="0.25">
      <c r="C445" s="1"/>
      <c r="D445" s="1"/>
      <c r="E445" s="1"/>
      <c r="F445" s="1"/>
      <c r="G445" s="1"/>
    </row>
    <row r="446" spans="3:7" ht="15.75" customHeight="1" x14ac:dyDescent="0.25">
      <c r="C446" s="1"/>
      <c r="D446" s="1"/>
      <c r="E446" s="1"/>
      <c r="F446" s="1"/>
      <c r="G446" s="1"/>
    </row>
    <row r="447" spans="3:7" ht="15.75" customHeight="1" x14ac:dyDescent="0.25">
      <c r="C447" s="1"/>
      <c r="D447" s="1"/>
      <c r="E447" s="1"/>
      <c r="F447" s="1"/>
      <c r="G447" s="1"/>
    </row>
    <row r="448" spans="3:7" ht="15.75" customHeight="1" x14ac:dyDescent="0.25">
      <c r="C448" s="1"/>
      <c r="D448" s="1"/>
      <c r="E448" s="1"/>
      <c r="F448" s="1"/>
      <c r="G448" s="1"/>
    </row>
    <row r="449" spans="3:7" ht="15.75" customHeight="1" x14ac:dyDescent="0.25">
      <c r="C449" s="1"/>
      <c r="D449" s="1"/>
      <c r="E449" s="1"/>
      <c r="F449" s="1"/>
      <c r="G449" s="1"/>
    </row>
    <row r="450" spans="3:7" ht="15.75" customHeight="1" x14ac:dyDescent="0.25">
      <c r="C450" s="1"/>
      <c r="D450" s="1"/>
      <c r="E450" s="1"/>
      <c r="F450" s="1"/>
      <c r="G450" s="1"/>
    </row>
    <row r="451" spans="3:7" ht="15.75" customHeight="1" x14ac:dyDescent="0.25">
      <c r="C451" s="1"/>
      <c r="D451" s="1"/>
      <c r="E451" s="1"/>
      <c r="F451" s="1"/>
      <c r="G451" s="1"/>
    </row>
    <row r="452" spans="3:7" ht="15.75" customHeight="1" x14ac:dyDescent="0.25">
      <c r="C452" s="1"/>
      <c r="D452" s="1"/>
      <c r="E452" s="1"/>
      <c r="F452" s="1"/>
      <c r="G452" s="1"/>
    </row>
    <row r="453" spans="3:7" ht="15.75" customHeight="1" x14ac:dyDescent="0.25">
      <c r="C453" s="1"/>
      <c r="D453" s="1"/>
      <c r="E453" s="1"/>
      <c r="F453" s="1"/>
      <c r="G453" s="1"/>
    </row>
    <row r="454" spans="3:7" ht="15.75" customHeight="1" x14ac:dyDescent="0.25">
      <c r="C454" s="1"/>
      <c r="D454" s="1"/>
      <c r="E454" s="1"/>
      <c r="F454" s="1"/>
      <c r="G454" s="1"/>
    </row>
    <row r="455" spans="3:7" ht="15.75" customHeight="1" x14ac:dyDescent="0.25">
      <c r="C455" s="1"/>
      <c r="D455" s="1"/>
      <c r="E455" s="1"/>
      <c r="F455" s="1"/>
      <c r="G455" s="1"/>
    </row>
    <row r="456" spans="3:7" ht="15.75" customHeight="1" x14ac:dyDescent="0.25">
      <c r="C456" s="1"/>
      <c r="D456" s="1"/>
      <c r="E456" s="1"/>
      <c r="F456" s="1"/>
      <c r="G456" s="1"/>
    </row>
    <row r="457" spans="3:7" ht="15.75" customHeight="1" x14ac:dyDescent="0.25">
      <c r="C457" s="1"/>
      <c r="D457" s="1"/>
      <c r="E457" s="1"/>
      <c r="F457" s="1"/>
      <c r="G457" s="1"/>
    </row>
    <row r="458" spans="3:7" ht="15.75" customHeight="1" x14ac:dyDescent="0.25">
      <c r="C458" s="1"/>
      <c r="D458" s="1"/>
      <c r="E458" s="1"/>
      <c r="F458" s="1"/>
      <c r="G458" s="1"/>
    </row>
    <row r="459" spans="3:7" ht="15.75" customHeight="1" x14ac:dyDescent="0.25">
      <c r="C459" s="1"/>
      <c r="D459" s="1"/>
      <c r="E459" s="1"/>
      <c r="F459" s="1"/>
      <c r="G459" s="1"/>
    </row>
    <row r="460" spans="3:7" ht="15.75" customHeight="1" x14ac:dyDescent="0.25">
      <c r="C460" s="1"/>
      <c r="D460" s="1"/>
      <c r="E460" s="1"/>
      <c r="F460" s="1"/>
      <c r="G460" s="1"/>
    </row>
    <row r="461" spans="3:7" ht="15.75" customHeight="1" x14ac:dyDescent="0.25">
      <c r="C461" s="1"/>
      <c r="D461" s="1"/>
      <c r="E461" s="1"/>
      <c r="F461" s="1"/>
      <c r="G461" s="1"/>
    </row>
    <row r="462" spans="3:7" ht="15.75" customHeight="1" x14ac:dyDescent="0.25">
      <c r="C462" s="1"/>
      <c r="D462" s="1"/>
      <c r="E462" s="1"/>
      <c r="F462" s="1"/>
      <c r="G462" s="1"/>
    </row>
    <row r="463" spans="3:7" ht="15.75" customHeight="1" x14ac:dyDescent="0.25">
      <c r="C463" s="1"/>
      <c r="D463" s="1"/>
      <c r="E463" s="1"/>
      <c r="F463" s="1"/>
      <c r="G463" s="1"/>
    </row>
    <row r="464" spans="3:7" ht="15.75" customHeight="1" x14ac:dyDescent="0.25">
      <c r="C464" s="1"/>
      <c r="D464" s="1"/>
      <c r="E464" s="1"/>
      <c r="F464" s="1"/>
      <c r="G464" s="1"/>
    </row>
    <row r="465" spans="3:7" ht="15.75" customHeight="1" x14ac:dyDescent="0.25">
      <c r="C465" s="1"/>
      <c r="D465" s="1"/>
      <c r="E465" s="1"/>
      <c r="F465" s="1"/>
      <c r="G465" s="1"/>
    </row>
    <row r="466" spans="3:7" ht="15.75" customHeight="1" x14ac:dyDescent="0.25">
      <c r="C466" s="1"/>
      <c r="D466" s="1"/>
      <c r="E466" s="1"/>
      <c r="F466" s="1"/>
      <c r="G466" s="1"/>
    </row>
    <row r="467" spans="3:7" ht="15.75" customHeight="1" x14ac:dyDescent="0.25">
      <c r="C467" s="1"/>
      <c r="D467" s="1"/>
      <c r="E467" s="1"/>
      <c r="F467" s="1"/>
      <c r="G467" s="1"/>
    </row>
    <row r="468" spans="3:7" ht="15.75" customHeight="1" x14ac:dyDescent="0.25">
      <c r="C468" s="1"/>
      <c r="D468" s="1"/>
      <c r="E468" s="1"/>
      <c r="F468" s="1"/>
      <c r="G468" s="1"/>
    </row>
    <row r="469" spans="3:7" ht="15.75" customHeight="1" x14ac:dyDescent="0.25">
      <c r="C469" s="1"/>
      <c r="D469" s="1"/>
      <c r="E469" s="1"/>
      <c r="F469" s="1"/>
      <c r="G469" s="1"/>
    </row>
    <row r="470" spans="3:7" ht="15.75" customHeight="1" x14ac:dyDescent="0.25">
      <c r="C470" s="1"/>
      <c r="D470" s="1"/>
      <c r="E470" s="1"/>
      <c r="F470" s="1"/>
      <c r="G470" s="1"/>
    </row>
    <row r="471" spans="3:7" ht="15.75" customHeight="1" x14ac:dyDescent="0.25">
      <c r="C471" s="1"/>
      <c r="D471" s="1"/>
      <c r="E471" s="1"/>
      <c r="F471" s="1"/>
      <c r="G471" s="1"/>
    </row>
    <row r="472" spans="3:7" ht="15.75" customHeight="1" x14ac:dyDescent="0.25">
      <c r="C472" s="1"/>
      <c r="D472" s="1"/>
      <c r="E472" s="1"/>
      <c r="F472" s="1"/>
      <c r="G472" s="1"/>
    </row>
    <row r="473" spans="3:7" ht="15.75" customHeight="1" x14ac:dyDescent="0.25">
      <c r="C473" s="1"/>
      <c r="D473" s="1"/>
      <c r="E473" s="1"/>
      <c r="F473" s="1"/>
      <c r="G473" s="1"/>
    </row>
    <row r="474" spans="3:7" ht="15.75" customHeight="1" x14ac:dyDescent="0.25">
      <c r="C474" s="1"/>
      <c r="D474" s="1"/>
      <c r="E474" s="1"/>
      <c r="F474" s="1"/>
      <c r="G474" s="1"/>
    </row>
    <row r="475" spans="3:7" ht="15.75" customHeight="1" x14ac:dyDescent="0.25">
      <c r="C475" s="1"/>
      <c r="D475" s="1"/>
      <c r="E475" s="1"/>
      <c r="F475" s="1"/>
      <c r="G475" s="1"/>
    </row>
    <row r="476" spans="3:7" ht="15.75" customHeight="1" x14ac:dyDescent="0.25">
      <c r="C476" s="1"/>
      <c r="D476" s="1"/>
      <c r="E476" s="1"/>
      <c r="F476" s="1"/>
      <c r="G476" s="1"/>
    </row>
    <row r="477" spans="3:7" ht="15.75" customHeight="1" x14ac:dyDescent="0.25">
      <c r="C477" s="1"/>
      <c r="D477" s="1"/>
      <c r="E477" s="1"/>
      <c r="F477" s="1"/>
      <c r="G477" s="1"/>
    </row>
    <row r="478" spans="3:7" ht="15.75" customHeight="1" x14ac:dyDescent="0.25">
      <c r="C478" s="1"/>
      <c r="D478" s="1"/>
      <c r="E478" s="1"/>
      <c r="F478" s="1"/>
      <c r="G478" s="1"/>
    </row>
    <row r="479" spans="3:7" ht="15.75" customHeight="1" x14ac:dyDescent="0.25">
      <c r="C479" s="1"/>
      <c r="D479" s="1"/>
      <c r="E479" s="1"/>
      <c r="F479" s="1"/>
      <c r="G479" s="1"/>
    </row>
    <row r="480" spans="3:7" ht="15.75" customHeight="1" x14ac:dyDescent="0.25">
      <c r="C480" s="1"/>
      <c r="D480" s="1"/>
      <c r="E480" s="1"/>
      <c r="F480" s="1"/>
      <c r="G480" s="1"/>
    </row>
    <row r="481" spans="3:7" ht="15.75" customHeight="1" x14ac:dyDescent="0.25">
      <c r="C481" s="1"/>
      <c r="D481" s="1"/>
      <c r="E481" s="1"/>
      <c r="F481" s="1"/>
      <c r="G481" s="1"/>
    </row>
    <row r="482" spans="3:7" ht="15.75" customHeight="1" x14ac:dyDescent="0.25">
      <c r="C482" s="1"/>
      <c r="D482" s="1"/>
      <c r="E482" s="1"/>
      <c r="F482" s="1"/>
      <c r="G482" s="1"/>
    </row>
    <row r="483" spans="3:7" ht="15.75" customHeight="1" x14ac:dyDescent="0.25">
      <c r="C483" s="1"/>
      <c r="D483" s="1"/>
      <c r="E483" s="1"/>
      <c r="F483" s="1"/>
      <c r="G483" s="1"/>
    </row>
    <row r="484" spans="3:7" ht="15.75" customHeight="1" x14ac:dyDescent="0.25">
      <c r="C484" s="1"/>
      <c r="D484" s="1"/>
      <c r="E484" s="1"/>
      <c r="F484" s="1"/>
      <c r="G484" s="1"/>
    </row>
    <row r="485" spans="3:7" ht="15.75" customHeight="1" x14ac:dyDescent="0.25">
      <c r="C485" s="1"/>
      <c r="D485" s="1"/>
      <c r="E485" s="1"/>
      <c r="F485" s="1"/>
      <c r="G485" s="1"/>
    </row>
    <row r="486" spans="3:7" ht="15.75" customHeight="1" x14ac:dyDescent="0.25">
      <c r="C486" s="1"/>
      <c r="D486" s="1"/>
      <c r="E486" s="1"/>
      <c r="F486" s="1"/>
      <c r="G486" s="1"/>
    </row>
    <row r="487" spans="3:7" ht="15.75" customHeight="1" x14ac:dyDescent="0.25">
      <c r="C487" s="1"/>
      <c r="D487" s="1"/>
      <c r="E487" s="1"/>
      <c r="F487" s="1"/>
      <c r="G487" s="1"/>
    </row>
    <row r="488" spans="3:7" ht="15.75" customHeight="1" x14ac:dyDescent="0.25">
      <c r="C488" s="1"/>
      <c r="D488" s="1"/>
      <c r="E488" s="1"/>
      <c r="F488" s="1"/>
      <c r="G488" s="1"/>
    </row>
    <row r="489" spans="3:7" ht="15.75" customHeight="1" x14ac:dyDescent="0.25">
      <c r="C489" s="1"/>
      <c r="D489" s="1"/>
      <c r="E489" s="1"/>
      <c r="F489" s="1"/>
      <c r="G489" s="1"/>
    </row>
    <row r="490" spans="3:7" ht="15.75" customHeight="1" x14ac:dyDescent="0.25">
      <c r="C490" s="1"/>
      <c r="D490" s="1"/>
      <c r="E490" s="1"/>
      <c r="F490" s="1"/>
      <c r="G490" s="1"/>
    </row>
    <row r="491" spans="3:7" ht="15.75" customHeight="1" x14ac:dyDescent="0.25">
      <c r="C491" s="1"/>
      <c r="D491" s="1"/>
      <c r="E491" s="1"/>
      <c r="F491" s="1"/>
      <c r="G491" s="1"/>
    </row>
    <row r="492" spans="3:7" ht="15.75" customHeight="1" x14ac:dyDescent="0.25">
      <c r="C492" s="1"/>
      <c r="D492" s="1"/>
      <c r="E492" s="1"/>
      <c r="F492" s="1"/>
      <c r="G492" s="1"/>
    </row>
    <row r="493" spans="3:7" ht="15.75" customHeight="1" x14ac:dyDescent="0.25">
      <c r="C493" s="1"/>
      <c r="D493" s="1"/>
      <c r="E493" s="1"/>
      <c r="F493" s="1"/>
      <c r="G493" s="1"/>
    </row>
    <row r="494" spans="3:7" ht="15.75" customHeight="1" x14ac:dyDescent="0.25">
      <c r="C494" s="1"/>
      <c r="D494" s="1"/>
      <c r="E494" s="1"/>
      <c r="F494" s="1"/>
      <c r="G494" s="1"/>
    </row>
    <row r="495" spans="3:7" ht="15.75" customHeight="1" x14ac:dyDescent="0.25">
      <c r="C495" s="1"/>
      <c r="D495" s="1"/>
      <c r="E495" s="1"/>
      <c r="F495" s="1"/>
      <c r="G495" s="1"/>
    </row>
    <row r="496" spans="3:7" ht="15.75" customHeight="1" x14ac:dyDescent="0.25">
      <c r="C496" s="1"/>
      <c r="D496" s="1"/>
      <c r="E496" s="1"/>
      <c r="F496" s="1"/>
      <c r="G496" s="1"/>
    </row>
    <row r="497" spans="3:7" ht="15.75" customHeight="1" x14ac:dyDescent="0.25">
      <c r="C497" s="1"/>
      <c r="D497" s="1"/>
      <c r="E497" s="1"/>
      <c r="F497" s="1"/>
      <c r="G497" s="1"/>
    </row>
    <row r="498" spans="3:7" ht="15.75" customHeight="1" x14ac:dyDescent="0.25">
      <c r="C498" s="1"/>
      <c r="D498" s="1"/>
      <c r="E498" s="1"/>
      <c r="F498" s="1"/>
      <c r="G498" s="1"/>
    </row>
    <row r="499" spans="3:7" ht="15.75" customHeight="1" x14ac:dyDescent="0.25">
      <c r="C499" s="1"/>
      <c r="D499" s="1"/>
      <c r="E499" s="1"/>
      <c r="F499" s="1"/>
      <c r="G499" s="1"/>
    </row>
    <row r="500" spans="3:7" ht="15.75" customHeight="1" x14ac:dyDescent="0.25">
      <c r="C500" s="1"/>
      <c r="D500" s="1"/>
      <c r="E500" s="1"/>
      <c r="F500" s="1"/>
      <c r="G500" s="1"/>
    </row>
    <row r="501" spans="3:7" ht="15.75" customHeight="1" x14ac:dyDescent="0.25">
      <c r="C501" s="1"/>
      <c r="D501" s="1"/>
      <c r="E501" s="1"/>
      <c r="F501" s="1"/>
      <c r="G501" s="1"/>
    </row>
    <row r="502" spans="3:7" ht="15.75" customHeight="1" x14ac:dyDescent="0.25">
      <c r="C502" s="1"/>
      <c r="D502" s="1"/>
      <c r="E502" s="1"/>
      <c r="F502" s="1"/>
      <c r="G502" s="1"/>
    </row>
    <row r="503" spans="3:7" ht="15.75" customHeight="1" x14ac:dyDescent="0.25">
      <c r="C503" s="1"/>
      <c r="D503" s="1"/>
      <c r="E503" s="1"/>
      <c r="F503" s="1"/>
      <c r="G503" s="1"/>
    </row>
    <row r="504" spans="3:7" ht="15.75" customHeight="1" x14ac:dyDescent="0.25">
      <c r="C504" s="1"/>
      <c r="D504" s="1"/>
      <c r="E504" s="1"/>
      <c r="F504" s="1"/>
      <c r="G504" s="1"/>
    </row>
    <row r="505" spans="3:7" ht="15.75" customHeight="1" x14ac:dyDescent="0.25">
      <c r="C505" s="1"/>
      <c r="D505" s="1"/>
      <c r="E505" s="1"/>
      <c r="F505" s="1"/>
      <c r="G505" s="1"/>
    </row>
    <row r="506" spans="3:7" ht="15.75" customHeight="1" x14ac:dyDescent="0.25">
      <c r="C506" s="1"/>
      <c r="D506" s="1"/>
      <c r="E506" s="1"/>
      <c r="F506" s="1"/>
      <c r="G506" s="1"/>
    </row>
    <row r="507" spans="3:7" ht="15.75" customHeight="1" x14ac:dyDescent="0.25">
      <c r="C507" s="1"/>
      <c r="D507" s="1"/>
      <c r="E507" s="1"/>
      <c r="F507" s="1"/>
      <c r="G507" s="1"/>
    </row>
    <row r="508" spans="3:7" ht="15.75" customHeight="1" x14ac:dyDescent="0.25">
      <c r="C508" s="1"/>
      <c r="D508" s="1"/>
      <c r="E508" s="1"/>
      <c r="F508" s="1"/>
      <c r="G508" s="1"/>
    </row>
    <row r="509" spans="3:7" ht="15.75" customHeight="1" x14ac:dyDescent="0.25">
      <c r="C509" s="1"/>
      <c r="D509" s="1"/>
      <c r="E509" s="1"/>
      <c r="F509" s="1"/>
      <c r="G509" s="1"/>
    </row>
    <row r="510" spans="3:7" ht="15.75" customHeight="1" x14ac:dyDescent="0.25">
      <c r="C510" s="1"/>
      <c r="D510" s="1"/>
      <c r="E510" s="1"/>
      <c r="F510" s="1"/>
      <c r="G510" s="1"/>
    </row>
    <row r="511" spans="3:7" ht="15.75" customHeight="1" x14ac:dyDescent="0.25">
      <c r="C511" s="1"/>
      <c r="D511" s="1"/>
      <c r="E511" s="1"/>
      <c r="F511" s="1"/>
      <c r="G511" s="1"/>
    </row>
    <row r="512" spans="3:7" ht="15.75" customHeight="1" x14ac:dyDescent="0.25">
      <c r="C512" s="1"/>
      <c r="D512" s="1"/>
      <c r="E512" s="1"/>
      <c r="F512" s="1"/>
      <c r="G512" s="1"/>
    </row>
    <row r="513" spans="3:7" ht="15.75" customHeight="1" x14ac:dyDescent="0.25">
      <c r="C513" s="1"/>
      <c r="D513" s="1"/>
      <c r="E513" s="1"/>
      <c r="F513" s="1"/>
      <c r="G513" s="1"/>
    </row>
    <row r="514" spans="3:7" ht="15.75" customHeight="1" x14ac:dyDescent="0.25">
      <c r="C514" s="1"/>
      <c r="D514" s="1"/>
      <c r="E514" s="1"/>
      <c r="F514" s="1"/>
      <c r="G514" s="1"/>
    </row>
    <row r="515" spans="3:7" ht="15.75" customHeight="1" x14ac:dyDescent="0.25">
      <c r="C515" s="1"/>
      <c r="D515" s="1"/>
      <c r="E515" s="1"/>
      <c r="F515" s="1"/>
      <c r="G515" s="1"/>
    </row>
    <row r="516" spans="3:7" ht="15.75" customHeight="1" x14ac:dyDescent="0.25">
      <c r="C516" s="1"/>
      <c r="D516" s="1"/>
      <c r="E516" s="1"/>
      <c r="F516" s="1"/>
      <c r="G516" s="1"/>
    </row>
    <row r="517" spans="3:7" ht="15.75" customHeight="1" x14ac:dyDescent="0.25">
      <c r="C517" s="1"/>
      <c r="D517" s="1"/>
      <c r="E517" s="1"/>
      <c r="F517" s="1"/>
      <c r="G517" s="1"/>
    </row>
    <row r="518" spans="3:7" ht="15.75" customHeight="1" x14ac:dyDescent="0.25">
      <c r="C518" s="1"/>
      <c r="D518" s="1"/>
      <c r="E518" s="1"/>
      <c r="F518" s="1"/>
      <c r="G518" s="1"/>
    </row>
    <row r="519" spans="3:7" ht="15.75" customHeight="1" x14ac:dyDescent="0.25">
      <c r="C519" s="1"/>
      <c r="D519" s="1"/>
      <c r="E519" s="1"/>
      <c r="F519" s="1"/>
      <c r="G519" s="1"/>
    </row>
    <row r="520" spans="3:7" ht="15.75" customHeight="1" x14ac:dyDescent="0.25">
      <c r="C520" s="1"/>
      <c r="D520" s="1"/>
      <c r="E520" s="1"/>
      <c r="F520" s="1"/>
      <c r="G520" s="1"/>
    </row>
    <row r="521" spans="3:7" ht="15.75" customHeight="1" x14ac:dyDescent="0.25">
      <c r="C521" s="1"/>
      <c r="D521" s="1"/>
      <c r="E521" s="1"/>
      <c r="F521" s="1"/>
      <c r="G521" s="1"/>
    </row>
    <row r="522" spans="3:7" ht="15.75" customHeight="1" x14ac:dyDescent="0.25">
      <c r="C522" s="1"/>
      <c r="D522" s="1"/>
      <c r="E522" s="1"/>
      <c r="F522" s="1"/>
      <c r="G522" s="1"/>
    </row>
    <row r="523" spans="3:7" ht="15.75" customHeight="1" x14ac:dyDescent="0.25">
      <c r="C523" s="1"/>
      <c r="D523" s="1"/>
      <c r="E523" s="1"/>
      <c r="F523" s="1"/>
      <c r="G523" s="1"/>
    </row>
    <row r="524" spans="3:7" ht="15.75" customHeight="1" x14ac:dyDescent="0.25">
      <c r="C524" s="1"/>
      <c r="D524" s="1"/>
      <c r="E524" s="1"/>
      <c r="F524" s="1"/>
      <c r="G524" s="1"/>
    </row>
    <row r="525" spans="3:7" ht="15.75" customHeight="1" x14ac:dyDescent="0.25">
      <c r="C525" s="1"/>
      <c r="D525" s="1"/>
      <c r="E525" s="1"/>
      <c r="F525" s="1"/>
      <c r="G525" s="1"/>
    </row>
    <row r="526" spans="3:7" ht="15.75" customHeight="1" x14ac:dyDescent="0.25">
      <c r="C526" s="1"/>
      <c r="D526" s="1"/>
      <c r="E526" s="1"/>
      <c r="F526" s="1"/>
      <c r="G526" s="1"/>
    </row>
    <row r="527" spans="3:7" ht="15.75" customHeight="1" x14ac:dyDescent="0.25">
      <c r="C527" s="1"/>
      <c r="D527" s="1"/>
      <c r="E527" s="1"/>
      <c r="F527" s="1"/>
      <c r="G527" s="1"/>
    </row>
    <row r="528" spans="3:7" ht="15.75" customHeight="1" x14ac:dyDescent="0.25">
      <c r="C528" s="1"/>
      <c r="D528" s="1"/>
      <c r="E528" s="1"/>
      <c r="F528" s="1"/>
      <c r="G528" s="1"/>
    </row>
    <row r="529" spans="3:7" ht="15.75" customHeight="1" x14ac:dyDescent="0.25">
      <c r="C529" s="1"/>
      <c r="D529" s="1"/>
      <c r="E529" s="1"/>
      <c r="F529" s="1"/>
      <c r="G529" s="1"/>
    </row>
    <row r="530" spans="3:7" ht="15.75" customHeight="1" x14ac:dyDescent="0.25">
      <c r="C530" s="1"/>
      <c r="D530" s="1"/>
      <c r="E530" s="1"/>
      <c r="F530" s="1"/>
      <c r="G530" s="1"/>
    </row>
    <row r="531" spans="3:7" ht="15.75" customHeight="1" x14ac:dyDescent="0.25">
      <c r="C531" s="1"/>
      <c r="D531" s="1"/>
      <c r="E531" s="1"/>
      <c r="F531" s="1"/>
      <c r="G531" s="1"/>
    </row>
    <row r="532" spans="3:7" ht="15.75" customHeight="1" x14ac:dyDescent="0.25">
      <c r="C532" s="1"/>
      <c r="D532" s="1"/>
      <c r="E532" s="1"/>
      <c r="F532" s="1"/>
      <c r="G532" s="1"/>
    </row>
    <row r="533" spans="3:7" ht="15.75" customHeight="1" x14ac:dyDescent="0.25">
      <c r="C533" s="1"/>
      <c r="D533" s="1"/>
      <c r="E533" s="1"/>
      <c r="F533" s="1"/>
      <c r="G533" s="1"/>
    </row>
    <row r="534" spans="3:7" ht="15.75" customHeight="1" x14ac:dyDescent="0.25">
      <c r="C534" s="1"/>
      <c r="D534" s="1"/>
      <c r="E534" s="1"/>
      <c r="F534" s="1"/>
      <c r="G534" s="1"/>
    </row>
    <row r="535" spans="3:7" ht="15.75" customHeight="1" x14ac:dyDescent="0.25">
      <c r="C535" s="1"/>
      <c r="D535" s="1"/>
      <c r="E535" s="1"/>
      <c r="F535" s="1"/>
      <c r="G535" s="1"/>
    </row>
    <row r="536" spans="3:7" ht="15.75" customHeight="1" x14ac:dyDescent="0.25">
      <c r="C536" s="1"/>
      <c r="D536" s="1"/>
      <c r="E536" s="1"/>
      <c r="F536" s="1"/>
      <c r="G536" s="1"/>
    </row>
    <row r="537" spans="3:7" ht="15.75" customHeight="1" x14ac:dyDescent="0.25">
      <c r="C537" s="1"/>
      <c r="D537" s="1"/>
      <c r="E537" s="1"/>
      <c r="F537" s="1"/>
      <c r="G537" s="1"/>
    </row>
    <row r="538" spans="3:7" ht="15.75" customHeight="1" x14ac:dyDescent="0.25">
      <c r="C538" s="1"/>
      <c r="D538" s="1"/>
      <c r="E538" s="1"/>
      <c r="F538" s="1"/>
      <c r="G538" s="1"/>
    </row>
    <row r="539" spans="3:7" ht="15.75" customHeight="1" x14ac:dyDescent="0.25">
      <c r="C539" s="1"/>
      <c r="D539" s="1"/>
      <c r="E539" s="1"/>
      <c r="F539" s="1"/>
      <c r="G539" s="1"/>
    </row>
    <row r="540" spans="3:7" ht="15.75" customHeight="1" x14ac:dyDescent="0.25">
      <c r="C540" s="1"/>
      <c r="D540" s="1"/>
      <c r="E540" s="1"/>
      <c r="F540" s="1"/>
      <c r="G540" s="1"/>
    </row>
    <row r="541" spans="3:7" ht="15.75" customHeight="1" x14ac:dyDescent="0.25">
      <c r="C541" s="1"/>
      <c r="D541" s="1"/>
      <c r="E541" s="1"/>
      <c r="F541" s="1"/>
      <c r="G541" s="1"/>
    </row>
    <row r="542" spans="3:7" ht="15.75" customHeight="1" x14ac:dyDescent="0.25">
      <c r="C542" s="1"/>
      <c r="D542" s="1"/>
      <c r="E542" s="1"/>
      <c r="F542" s="1"/>
      <c r="G542" s="1"/>
    </row>
    <row r="543" spans="3:7" ht="15.75" customHeight="1" x14ac:dyDescent="0.25">
      <c r="C543" s="1"/>
      <c r="D543" s="1"/>
      <c r="E543" s="1"/>
      <c r="F543" s="1"/>
      <c r="G543" s="1"/>
    </row>
    <row r="544" spans="3:7" ht="15.75" customHeight="1" x14ac:dyDescent="0.25">
      <c r="C544" s="1"/>
      <c r="D544" s="1"/>
      <c r="E544" s="1"/>
      <c r="F544" s="1"/>
      <c r="G544" s="1"/>
    </row>
    <row r="545" spans="3:7" ht="15.75" customHeight="1" x14ac:dyDescent="0.25">
      <c r="C545" s="1"/>
      <c r="D545" s="1"/>
      <c r="E545" s="1"/>
      <c r="F545" s="1"/>
      <c r="G545" s="1"/>
    </row>
    <row r="546" spans="3:7" ht="15.75" customHeight="1" x14ac:dyDescent="0.25">
      <c r="C546" s="1"/>
      <c r="D546" s="1"/>
      <c r="E546" s="1"/>
      <c r="F546" s="1"/>
      <c r="G546" s="1"/>
    </row>
    <row r="547" spans="3:7" ht="15.75" customHeight="1" x14ac:dyDescent="0.25">
      <c r="C547" s="1"/>
      <c r="D547" s="1"/>
      <c r="E547" s="1"/>
      <c r="F547" s="1"/>
      <c r="G547" s="1"/>
    </row>
    <row r="548" spans="3:7" ht="15.75" customHeight="1" x14ac:dyDescent="0.25">
      <c r="C548" s="1"/>
      <c r="D548" s="1"/>
      <c r="E548" s="1"/>
      <c r="F548" s="1"/>
      <c r="G548" s="1"/>
    </row>
    <row r="549" spans="3:7" ht="15.75" customHeight="1" x14ac:dyDescent="0.25">
      <c r="C549" s="1"/>
      <c r="D549" s="1"/>
      <c r="E549" s="1"/>
      <c r="F549" s="1"/>
      <c r="G549" s="1"/>
    </row>
    <row r="550" spans="3:7" ht="15.75" customHeight="1" x14ac:dyDescent="0.25">
      <c r="C550" s="1"/>
      <c r="D550" s="1"/>
      <c r="E550" s="1"/>
      <c r="F550" s="1"/>
      <c r="G550" s="1"/>
    </row>
    <row r="551" spans="3:7" ht="15.75" customHeight="1" x14ac:dyDescent="0.25">
      <c r="C551" s="1"/>
      <c r="D551" s="1"/>
      <c r="E551" s="1"/>
      <c r="F551" s="1"/>
      <c r="G551" s="1"/>
    </row>
    <row r="552" spans="3:7" ht="15.75" customHeight="1" x14ac:dyDescent="0.25">
      <c r="C552" s="1"/>
      <c r="D552" s="1"/>
      <c r="E552" s="1"/>
      <c r="F552" s="1"/>
      <c r="G552" s="1"/>
    </row>
    <row r="553" spans="3:7" ht="15.75" customHeight="1" x14ac:dyDescent="0.25">
      <c r="C553" s="1"/>
      <c r="D553" s="1"/>
      <c r="E553" s="1"/>
      <c r="F553" s="1"/>
      <c r="G553" s="1"/>
    </row>
    <row r="554" spans="3:7" ht="15.75" customHeight="1" x14ac:dyDescent="0.25">
      <c r="C554" s="1"/>
      <c r="D554" s="1"/>
      <c r="E554" s="1"/>
      <c r="F554" s="1"/>
      <c r="G554" s="1"/>
    </row>
    <row r="555" spans="3:7" ht="15.75" customHeight="1" x14ac:dyDescent="0.25">
      <c r="C555" s="1"/>
      <c r="D555" s="1"/>
      <c r="E555" s="1"/>
      <c r="F555" s="1"/>
      <c r="G555" s="1"/>
    </row>
    <row r="556" spans="3:7" ht="15.75" customHeight="1" x14ac:dyDescent="0.25">
      <c r="C556" s="1"/>
      <c r="D556" s="1"/>
      <c r="E556" s="1"/>
      <c r="F556" s="1"/>
      <c r="G556" s="1"/>
    </row>
    <row r="557" spans="3:7" ht="15.75" customHeight="1" x14ac:dyDescent="0.25">
      <c r="C557" s="1"/>
      <c r="D557" s="1"/>
      <c r="E557" s="1"/>
      <c r="F557" s="1"/>
      <c r="G557" s="1"/>
    </row>
    <row r="558" spans="3:7" ht="15.75" customHeight="1" x14ac:dyDescent="0.25">
      <c r="C558" s="1"/>
      <c r="D558" s="1"/>
      <c r="E558" s="1"/>
      <c r="F558" s="1"/>
      <c r="G558" s="1"/>
    </row>
    <row r="559" spans="3:7" ht="15.75" customHeight="1" x14ac:dyDescent="0.25">
      <c r="C559" s="1"/>
      <c r="D559" s="1"/>
      <c r="E559" s="1"/>
      <c r="F559" s="1"/>
      <c r="G559" s="1"/>
    </row>
    <row r="560" spans="3:7" ht="15.75" customHeight="1" x14ac:dyDescent="0.25">
      <c r="C560" s="1"/>
      <c r="D560" s="1"/>
      <c r="E560" s="1"/>
      <c r="F560" s="1"/>
      <c r="G560" s="1"/>
    </row>
    <row r="561" spans="3:7" ht="15.75" customHeight="1" x14ac:dyDescent="0.25">
      <c r="C561" s="1"/>
      <c r="D561" s="1"/>
      <c r="E561" s="1"/>
      <c r="F561" s="1"/>
      <c r="G561" s="1"/>
    </row>
    <row r="562" spans="3:7" ht="15.75" customHeight="1" x14ac:dyDescent="0.25">
      <c r="C562" s="1"/>
      <c r="D562" s="1"/>
      <c r="E562" s="1"/>
      <c r="F562" s="1"/>
      <c r="G562" s="1"/>
    </row>
    <row r="563" spans="3:7" ht="15.75" customHeight="1" x14ac:dyDescent="0.25">
      <c r="C563" s="1"/>
      <c r="D563" s="1"/>
      <c r="E563" s="1"/>
      <c r="F563" s="1"/>
      <c r="G563" s="1"/>
    </row>
    <row r="564" spans="3:7" ht="15.75" customHeight="1" x14ac:dyDescent="0.25">
      <c r="C564" s="1"/>
      <c r="D564" s="1"/>
      <c r="E564" s="1"/>
      <c r="F564" s="1"/>
      <c r="G564" s="1"/>
    </row>
    <row r="565" spans="3:7" ht="15.75" customHeight="1" x14ac:dyDescent="0.25">
      <c r="C565" s="1"/>
      <c r="D565" s="1"/>
      <c r="E565" s="1"/>
      <c r="F565" s="1"/>
      <c r="G565" s="1"/>
    </row>
    <row r="566" spans="3:7" ht="15.75" customHeight="1" x14ac:dyDescent="0.25">
      <c r="C566" s="1"/>
      <c r="D566" s="1"/>
      <c r="E566" s="1"/>
      <c r="F566" s="1"/>
      <c r="G566" s="1"/>
    </row>
    <row r="567" spans="3:7" ht="15.75" customHeight="1" x14ac:dyDescent="0.25">
      <c r="C567" s="1"/>
      <c r="D567" s="1"/>
      <c r="E567" s="1"/>
      <c r="F567" s="1"/>
      <c r="G567" s="1"/>
    </row>
    <row r="568" spans="3:7" ht="15.75" customHeight="1" x14ac:dyDescent="0.25">
      <c r="C568" s="1"/>
      <c r="D568" s="1"/>
      <c r="E568" s="1"/>
      <c r="F568" s="1"/>
      <c r="G568" s="1"/>
    </row>
    <row r="569" spans="3:7" ht="15.75" customHeight="1" x14ac:dyDescent="0.25">
      <c r="C569" s="1"/>
      <c r="D569" s="1"/>
      <c r="E569" s="1"/>
      <c r="F569" s="1"/>
      <c r="G569" s="1"/>
    </row>
    <row r="570" spans="3:7" ht="15.75" customHeight="1" x14ac:dyDescent="0.25">
      <c r="C570" s="1"/>
      <c r="D570" s="1"/>
      <c r="E570" s="1"/>
      <c r="F570" s="1"/>
      <c r="G570" s="1"/>
    </row>
    <row r="571" spans="3:7" ht="15.75" customHeight="1" x14ac:dyDescent="0.25">
      <c r="C571" s="1"/>
      <c r="D571" s="1"/>
      <c r="E571" s="1"/>
      <c r="F571" s="1"/>
      <c r="G571" s="1"/>
    </row>
    <row r="572" spans="3:7" ht="15.75" customHeight="1" x14ac:dyDescent="0.25">
      <c r="C572" s="1"/>
      <c r="D572" s="1"/>
      <c r="E572" s="1"/>
      <c r="F572" s="1"/>
      <c r="G572" s="1"/>
    </row>
    <row r="573" spans="3:7" ht="15.75" customHeight="1" x14ac:dyDescent="0.25">
      <c r="C573" s="1"/>
      <c r="D573" s="1"/>
      <c r="E573" s="1"/>
      <c r="F573" s="1"/>
      <c r="G573" s="1"/>
    </row>
    <row r="574" spans="3:7" ht="15.75" customHeight="1" x14ac:dyDescent="0.25">
      <c r="C574" s="1"/>
      <c r="D574" s="1"/>
      <c r="E574" s="1"/>
      <c r="F574" s="1"/>
      <c r="G574" s="1"/>
    </row>
    <row r="575" spans="3:7" ht="15.75" customHeight="1" x14ac:dyDescent="0.25">
      <c r="C575" s="1"/>
      <c r="D575" s="1"/>
      <c r="E575" s="1"/>
      <c r="F575" s="1"/>
      <c r="G575" s="1"/>
    </row>
    <row r="576" spans="3:7" ht="15.75" customHeight="1" x14ac:dyDescent="0.25">
      <c r="C576" s="1"/>
      <c r="D576" s="1"/>
      <c r="E576" s="1"/>
      <c r="F576" s="1"/>
      <c r="G576" s="1"/>
    </row>
    <row r="577" spans="3:7" ht="15.75" customHeight="1" x14ac:dyDescent="0.25">
      <c r="C577" s="1"/>
      <c r="D577" s="1"/>
      <c r="E577" s="1"/>
      <c r="F577" s="1"/>
      <c r="G577" s="1"/>
    </row>
    <row r="578" spans="3:7" ht="15.75" customHeight="1" x14ac:dyDescent="0.25">
      <c r="C578" s="1"/>
      <c r="D578" s="1"/>
      <c r="E578" s="1"/>
      <c r="F578" s="1"/>
      <c r="G578" s="1"/>
    </row>
    <row r="579" spans="3:7" ht="15.75" customHeight="1" x14ac:dyDescent="0.25">
      <c r="C579" s="1"/>
      <c r="D579" s="1"/>
      <c r="E579" s="1"/>
      <c r="F579" s="1"/>
      <c r="G579" s="1"/>
    </row>
    <row r="580" spans="3:7" ht="15.75" customHeight="1" x14ac:dyDescent="0.25">
      <c r="C580" s="1"/>
      <c r="D580" s="1"/>
      <c r="E580" s="1"/>
      <c r="F580" s="1"/>
      <c r="G580" s="1"/>
    </row>
    <row r="581" spans="3:7" ht="15.75" customHeight="1" x14ac:dyDescent="0.25">
      <c r="C581" s="1"/>
      <c r="D581" s="1"/>
      <c r="E581" s="1"/>
      <c r="F581" s="1"/>
      <c r="G581" s="1"/>
    </row>
    <row r="582" spans="3:7" ht="15.75" customHeight="1" x14ac:dyDescent="0.25">
      <c r="C582" s="1"/>
      <c r="D582" s="1"/>
      <c r="E582" s="1"/>
      <c r="F582" s="1"/>
      <c r="G582" s="1"/>
    </row>
    <row r="583" spans="3:7" ht="15.75" customHeight="1" x14ac:dyDescent="0.25">
      <c r="C583" s="1"/>
      <c r="D583" s="1"/>
      <c r="E583" s="1"/>
      <c r="F583" s="1"/>
      <c r="G583" s="1"/>
    </row>
    <row r="584" spans="3:7" ht="15.75" customHeight="1" x14ac:dyDescent="0.25">
      <c r="C584" s="1"/>
      <c r="D584" s="1"/>
      <c r="E584" s="1"/>
      <c r="F584" s="1"/>
      <c r="G584" s="1"/>
    </row>
    <row r="585" spans="3:7" ht="15.75" customHeight="1" x14ac:dyDescent="0.25">
      <c r="C585" s="1"/>
      <c r="D585" s="1"/>
      <c r="E585" s="1"/>
      <c r="F585" s="1"/>
      <c r="G585" s="1"/>
    </row>
    <row r="586" spans="3:7" ht="15.75" customHeight="1" x14ac:dyDescent="0.25">
      <c r="C586" s="1"/>
      <c r="D586" s="1"/>
      <c r="E586" s="1"/>
      <c r="F586" s="1"/>
      <c r="G586" s="1"/>
    </row>
    <row r="587" spans="3:7" ht="15.75" customHeight="1" x14ac:dyDescent="0.25">
      <c r="C587" s="1"/>
      <c r="D587" s="1"/>
      <c r="E587" s="1"/>
      <c r="F587" s="1"/>
      <c r="G587" s="1"/>
    </row>
    <row r="588" spans="3:7" ht="15.75" customHeight="1" x14ac:dyDescent="0.25">
      <c r="C588" s="1"/>
      <c r="D588" s="1"/>
      <c r="E588" s="1"/>
      <c r="F588" s="1"/>
      <c r="G588" s="1"/>
    </row>
    <row r="589" spans="3:7" ht="15.75" customHeight="1" x14ac:dyDescent="0.25">
      <c r="C589" s="1"/>
      <c r="D589" s="1"/>
      <c r="E589" s="1"/>
      <c r="F589" s="1"/>
      <c r="G589" s="1"/>
    </row>
    <row r="590" spans="3:7" ht="15.75" customHeight="1" x14ac:dyDescent="0.25">
      <c r="C590" s="1"/>
      <c r="D590" s="1"/>
      <c r="E590" s="1"/>
      <c r="F590" s="1"/>
      <c r="G590" s="1"/>
    </row>
    <row r="591" spans="3:7" ht="15.75" customHeight="1" x14ac:dyDescent="0.25">
      <c r="C591" s="1"/>
      <c r="D591" s="1"/>
      <c r="E591" s="1"/>
      <c r="F591" s="1"/>
      <c r="G591" s="1"/>
    </row>
    <row r="592" spans="3:7" ht="15.75" customHeight="1" x14ac:dyDescent="0.25">
      <c r="C592" s="1"/>
      <c r="D592" s="1"/>
      <c r="E592" s="1"/>
      <c r="F592" s="1"/>
      <c r="G592" s="1"/>
    </row>
    <row r="593" spans="3:7" ht="15.75" customHeight="1" x14ac:dyDescent="0.25">
      <c r="C593" s="1"/>
      <c r="D593" s="1"/>
      <c r="E593" s="1"/>
      <c r="F593" s="1"/>
      <c r="G593" s="1"/>
    </row>
    <row r="594" spans="3:7" ht="15.75" customHeight="1" x14ac:dyDescent="0.25">
      <c r="C594" s="1"/>
      <c r="D594" s="1"/>
      <c r="E594" s="1"/>
      <c r="F594" s="1"/>
      <c r="G594" s="1"/>
    </row>
    <row r="595" spans="3:7" ht="15.75" customHeight="1" x14ac:dyDescent="0.25">
      <c r="C595" s="1"/>
      <c r="D595" s="1"/>
      <c r="E595" s="1"/>
      <c r="F595" s="1"/>
      <c r="G595" s="1"/>
    </row>
    <row r="596" spans="3:7" ht="15.75" customHeight="1" x14ac:dyDescent="0.25">
      <c r="C596" s="1"/>
      <c r="D596" s="1"/>
      <c r="E596" s="1"/>
      <c r="F596" s="1"/>
      <c r="G596" s="1"/>
    </row>
    <row r="597" spans="3:7" ht="15.75" customHeight="1" x14ac:dyDescent="0.25">
      <c r="C597" s="1"/>
      <c r="D597" s="1"/>
      <c r="E597" s="1"/>
      <c r="F597" s="1"/>
      <c r="G597" s="1"/>
    </row>
    <row r="598" spans="3:7" ht="15.75" customHeight="1" x14ac:dyDescent="0.25">
      <c r="C598" s="1"/>
      <c r="D598" s="1"/>
      <c r="E598" s="1"/>
      <c r="F598" s="1"/>
      <c r="G598" s="1"/>
    </row>
    <row r="599" spans="3:7" ht="15.75" customHeight="1" x14ac:dyDescent="0.25">
      <c r="C599" s="1"/>
      <c r="D599" s="1"/>
      <c r="E599" s="1"/>
      <c r="F599" s="1"/>
      <c r="G599" s="1"/>
    </row>
    <row r="600" spans="3:7" ht="15.75" customHeight="1" x14ac:dyDescent="0.25">
      <c r="C600" s="1"/>
      <c r="D600" s="1"/>
      <c r="E600" s="1"/>
      <c r="F600" s="1"/>
      <c r="G600" s="1"/>
    </row>
    <row r="601" spans="3:7" ht="15.75" customHeight="1" x14ac:dyDescent="0.25">
      <c r="C601" s="1"/>
      <c r="D601" s="1"/>
      <c r="E601" s="1"/>
      <c r="F601" s="1"/>
      <c r="G601" s="1"/>
    </row>
    <row r="602" spans="3:7" ht="15.75" customHeight="1" x14ac:dyDescent="0.25">
      <c r="C602" s="1"/>
      <c r="D602" s="1"/>
      <c r="E602" s="1"/>
      <c r="F602" s="1"/>
      <c r="G602" s="1"/>
    </row>
    <row r="603" spans="3:7" ht="15.75" customHeight="1" x14ac:dyDescent="0.25">
      <c r="C603" s="1"/>
      <c r="D603" s="1"/>
      <c r="E603" s="1"/>
      <c r="F603" s="1"/>
      <c r="G603" s="1"/>
    </row>
    <row r="604" spans="3:7" ht="15.75" customHeight="1" x14ac:dyDescent="0.25">
      <c r="C604" s="1"/>
      <c r="D604" s="1"/>
      <c r="E604" s="1"/>
      <c r="F604" s="1"/>
      <c r="G604" s="1"/>
    </row>
    <row r="605" spans="3:7" ht="15.75" customHeight="1" x14ac:dyDescent="0.25">
      <c r="C605" s="1"/>
      <c r="D605" s="1"/>
      <c r="E605" s="1"/>
      <c r="F605" s="1"/>
      <c r="G605" s="1"/>
    </row>
    <row r="606" spans="3:7" ht="15.75" customHeight="1" x14ac:dyDescent="0.25">
      <c r="C606" s="1"/>
      <c r="D606" s="1"/>
      <c r="E606" s="1"/>
      <c r="F606" s="1"/>
      <c r="G606" s="1"/>
    </row>
    <row r="607" spans="3:7" ht="15.75" customHeight="1" x14ac:dyDescent="0.25">
      <c r="C607" s="1"/>
      <c r="D607" s="1"/>
      <c r="E607" s="1"/>
      <c r="F607" s="1"/>
      <c r="G607" s="1"/>
    </row>
    <row r="608" spans="3:7" ht="15.75" customHeight="1" x14ac:dyDescent="0.25">
      <c r="C608" s="1"/>
      <c r="D608" s="1"/>
      <c r="E608" s="1"/>
      <c r="F608" s="1"/>
      <c r="G608" s="1"/>
    </row>
    <row r="609" spans="3:7" ht="15.75" customHeight="1" x14ac:dyDescent="0.25">
      <c r="C609" s="1"/>
      <c r="D609" s="1"/>
      <c r="E609" s="1"/>
      <c r="F609" s="1"/>
      <c r="G609" s="1"/>
    </row>
    <row r="610" spans="3:7" ht="15.75" customHeight="1" x14ac:dyDescent="0.25">
      <c r="C610" s="1"/>
      <c r="D610" s="1"/>
      <c r="E610" s="1"/>
      <c r="F610" s="1"/>
      <c r="G610" s="1"/>
    </row>
    <row r="611" spans="3:7" ht="15.75" customHeight="1" x14ac:dyDescent="0.25">
      <c r="C611" s="1"/>
      <c r="D611" s="1"/>
      <c r="E611" s="1"/>
      <c r="F611" s="1"/>
      <c r="G611" s="1"/>
    </row>
    <row r="612" spans="3:7" ht="15.75" customHeight="1" x14ac:dyDescent="0.25">
      <c r="C612" s="1"/>
      <c r="D612" s="1"/>
      <c r="E612" s="1"/>
      <c r="F612" s="1"/>
      <c r="G612" s="1"/>
    </row>
    <row r="613" spans="3:7" ht="15.75" customHeight="1" x14ac:dyDescent="0.25">
      <c r="C613" s="1"/>
      <c r="D613" s="1"/>
      <c r="E613" s="1"/>
      <c r="F613" s="1"/>
      <c r="G613" s="1"/>
    </row>
    <row r="614" spans="3:7" ht="15.75" customHeight="1" x14ac:dyDescent="0.25">
      <c r="C614" s="1"/>
      <c r="D614" s="1"/>
      <c r="E614" s="1"/>
      <c r="F614" s="1"/>
      <c r="G614" s="1"/>
    </row>
    <row r="615" spans="3:7" ht="15.75" customHeight="1" x14ac:dyDescent="0.25">
      <c r="C615" s="1"/>
      <c r="D615" s="1"/>
      <c r="E615" s="1"/>
      <c r="F615" s="1"/>
      <c r="G615" s="1"/>
    </row>
    <row r="616" spans="3:7" ht="15.75" customHeight="1" x14ac:dyDescent="0.25">
      <c r="C616" s="1"/>
      <c r="D616" s="1"/>
      <c r="E616" s="1"/>
      <c r="F616" s="1"/>
      <c r="G616" s="1"/>
    </row>
    <row r="617" spans="3:7" ht="15.75" customHeight="1" x14ac:dyDescent="0.25">
      <c r="C617" s="1"/>
      <c r="D617" s="1"/>
      <c r="E617" s="1"/>
      <c r="F617" s="1"/>
      <c r="G617" s="1"/>
    </row>
    <row r="618" spans="3:7" ht="15.75" customHeight="1" x14ac:dyDescent="0.25">
      <c r="C618" s="1"/>
      <c r="D618" s="1"/>
      <c r="E618" s="1"/>
      <c r="F618" s="1"/>
      <c r="G618" s="1"/>
    </row>
    <row r="619" spans="3:7" ht="15.75" customHeight="1" x14ac:dyDescent="0.25">
      <c r="C619" s="1"/>
      <c r="D619" s="1"/>
      <c r="E619" s="1"/>
      <c r="F619" s="1"/>
      <c r="G619" s="1"/>
    </row>
    <row r="620" spans="3:7" ht="15.75" customHeight="1" x14ac:dyDescent="0.25">
      <c r="C620" s="1"/>
      <c r="D620" s="1"/>
      <c r="E620" s="1"/>
      <c r="F620" s="1"/>
      <c r="G620" s="1"/>
    </row>
    <row r="621" spans="3:7" ht="15.75" customHeight="1" x14ac:dyDescent="0.25">
      <c r="C621" s="1"/>
      <c r="D621" s="1"/>
      <c r="E621" s="1"/>
      <c r="F621" s="1"/>
      <c r="G621" s="1"/>
    </row>
    <row r="622" spans="3:7" ht="15.75" customHeight="1" x14ac:dyDescent="0.25">
      <c r="C622" s="1"/>
      <c r="D622" s="1"/>
      <c r="E622" s="1"/>
      <c r="F622" s="1"/>
      <c r="G622" s="1"/>
    </row>
    <row r="623" spans="3:7" ht="15.75" customHeight="1" x14ac:dyDescent="0.25">
      <c r="C623" s="1"/>
      <c r="D623" s="1"/>
      <c r="E623" s="1"/>
      <c r="F623" s="1"/>
      <c r="G623" s="1"/>
    </row>
    <row r="624" spans="3:7" ht="15.75" customHeight="1" x14ac:dyDescent="0.25">
      <c r="C624" s="1"/>
      <c r="D624" s="1"/>
      <c r="E624" s="1"/>
      <c r="F624" s="1"/>
      <c r="G624" s="1"/>
    </row>
    <row r="625" spans="3:7" ht="15.75" customHeight="1" x14ac:dyDescent="0.25">
      <c r="C625" s="1"/>
      <c r="D625" s="1"/>
      <c r="E625" s="1"/>
      <c r="F625" s="1"/>
      <c r="G625" s="1"/>
    </row>
    <row r="626" spans="3:7" ht="15.75" customHeight="1" x14ac:dyDescent="0.25">
      <c r="C626" s="1"/>
      <c r="D626" s="1"/>
      <c r="E626" s="1"/>
      <c r="F626" s="1"/>
      <c r="G626" s="1"/>
    </row>
    <row r="627" spans="3:7" ht="15.75" customHeight="1" x14ac:dyDescent="0.25">
      <c r="C627" s="1"/>
      <c r="D627" s="1"/>
      <c r="E627" s="1"/>
      <c r="F627" s="1"/>
      <c r="G627" s="1"/>
    </row>
    <row r="628" spans="3:7" ht="15.75" customHeight="1" x14ac:dyDescent="0.25">
      <c r="C628" s="1"/>
      <c r="D628" s="1"/>
      <c r="E628" s="1"/>
      <c r="F628" s="1"/>
      <c r="G628" s="1"/>
    </row>
    <row r="629" spans="3:7" ht="15.75" customHeight="1" x14ac:dyDescent="0.25">
      <c r="C629" s="1"/>
      <c r="D629" s="1"/>
      <c r="E629" s="1"/>
      <c r="F629" s="1"/>
      <c r="G629" s="1"/>
    </row>
    <row r="630" spans="3:7" ht="15.75" customHeight="1" x14ac:dyDescent="0.25">
      <c r="C630" s="1"/>
      <c r="D630" s="1"/>
      <c r="E630" s="1"/>
      <c r="F630" s="1"/>
      <c r="G630" s="1"/>
    </row>
    <row r="631" spans="3:7" ht="15.75" customHeight="1" x14ac:dyDescent="0.25">
      <c r="C631" s="1"/>
      <c r="D631" s="1"/>
      <c r="E631" s="1"/>
      <c r="F631" s="1"/>
      <c r="G631" s="1"/>
    </row>
    <row r="632" spans="3:7" ht="15.75" customHeight="1" x14ac:dyDescent="0.25">
      <c r="C632" s="1"/>
      <c r="D632" s="1"/>
      <c r="E632" s="1"/>
      <c r="F632" s="1"/>
      <c r="G632" s="1"/>
    </row>
    <row r="633" spans="3:7" ht="15.75" customHeight="1" x14ac:dyDescent="0.25">
      <c r="C633" s="1"/>
      <c r="D633" s="1"/>
      <c r="E633" s="1"/>
      <c r="F633" s="1"/>
      <c r="G633" s="1"/>
    </row>
    <row r="634" spans="3:7" ht="15.75" customHeight="1" x14ac:dyDescent="0.25">
      <c r="C634" s="1"/>
      <c r="D634" s="1"/>
      <c r="E634" s="1"/>
      <c r="F634" s="1"/>
      <c r="G634" s="1"/>
    </row>
    <row r="635" spans="3:7" ht="15.75" customHeight="1" x14ac:dyDescent="0.25">
      <c r="C635" s="1"/>
      <c r="D635" s="1"/>
      <c r="E635" s="1"/>
      <c r="F635" s="1"/>
      <c r="G635" s="1"/>
    </row>
    <row r="636" spans="3:7" ht="15.75" customHeight="1" x14ac:dyDescent="0.25">
      <c r="C636" s="1"/>
      <c r="D636" s="1"/>
      <c r="E636" s="1"/>
      <c r="F636" s="1"/>
      <c r="G636" s="1"/>
    </row>
    <row r="637" spans="3:7" ht="15.75" customHeight="1" x14ac:dyDescent="0.25">
      <c r="C637" s="1"/>
      <c r="D637" s="1"/>
      <c r="E637" s="1"/>
      <c r="F637" s="1"/>
      <c r="G637" s="1"/>
    </row>
    <row r="638" spans="3:7" ht="15.75" customHeight="1" x14ac:dyDescent="0.25">
      <c r="C638" s="1"/>
      <c r="D638" s="1"/>
      <c r="E638" s="1"/>
      <c r="F638" s="1"/>
      <c r="G638" s="1"/>
    </row>
    <row r="639" spans="3:7" ht="15.75" customHeight="1" x14ac:dyDescent="0.25">
      <c r="C639" s="1"/>
      <c r="D639" s="1"/>
      <c r="E639" s="1"/>
      <c r="F639" s="1"/>
      <c r="G639" s="1"/>
    </row>
    <row r="640" spans="3:7" ht="15.75" customHeight="1" x14ac:dyDescent="0.25">
      <c r="C640" s="1"/>
      <c r="D640" s="1"/>
      <c r="E640" s="1"/>
      <c r="F640" s="1"/>
      <c r="G640" s="1"/>
    </row>
    <row r="641" spans="3:7" ht="15.75" customHeight="1" x14ac:dyDescent="0.25">
      <c r="C641" s="1"/>
      <c r="D641" s="1"/>
      <c r="E641" s="1"/>
      <c r="F641" s="1"/>
      <c r="G641" s="1"/>
    </row>
    <row r="642" spans="3:7" ht="15.75" customHeight="1" x14ac:dyDescent="0.25">
      <c r="C642" s="1"/>
      <c r="D642" s="1"/>
      <c r="E642" s="1"/>
      <c r="F642" s="1"/>
      <c r="G642" s="1"/>
    </row>
    <row r="643" spans="3:7" ht="15.75" customHeight="1" x14ac:dyDescent="0.25">
      <c r="C643" s="1"/>
      <c r="D643" s="1"/>
      <c r="E643" s="1"/>
      <c r="F643" s="1"/>
      <c r="G643" s="1"/>
    </row>
    <row r="644" spans="3:7" ht="15.75" customHeight="1" x14ac:dyDescent="0.25">
      <c r="C644" s="1"/>
      <c r="D644" s="1"/>
      <c r="E644" s="1"/>
      <c r="F644" s="1"/>
      <c r="G644" s="1"/>
    </row>
    <row r="645" spans="3:7" ht="15.75" customHeight="1" x14ac:dyDescent="0.25">
      <c r="C645" s="1"/>
      <c r="D645" s="1"/>
      <c r="E645" s="1"/>
      <c r="F645" s="1"/>
      <c r="G645" s="1"/>
    </row>
    <row r="646" spans="3:7" ht="15.75" customHeight="1" x14ac:dyDescent="0.25">
      <c r="C646" s="1"/>
      <c r="D646" s="1"/>
      <c r="E646" s="1"/>
      <c r="F646" s="1"/>
      <c r="G646" s="1"/>
    </row>
    <row r="647" spans="3:7" ht="15.75" customHeight="1" x14ac:dyDescent="0.25">
      <c r="C647" s="1"/>
      <c r="D647" s="1"/>
      <c r="E647" s="1"/>
      <c r="F647" s="1"/>
      <c r="G647" s="1"/>
    </row>
    <row r="648" spans="3:7" ht="15.75" customHeight="1" x14ac:dyDescent="0.25">
      <c r="C648" s="1"/>
      <c r="D648" s="1"/>
      <c r="E648" s="1"/>
      <c r="F648" s="1"/>
      <c r="G648" s="1"/>
    </row>
    <row r="649" spans="3:7" ht="15.75" customHeight="1" x14ac:dyDescent="0.25">
      <c r="C649" s="1"/>
      <c r="D649" s="1"/>
      <c r="E649" s="1"/>
      <c r="F649" s="1"/>
      <c r="G649" s="1"/>
    </row>
    <row r="650" spans="3:7" ht="15.75" customHeight="1" x14ac:dyDescent="0.25">
      <c r="C650" s="1"/>
      <c r="D650" s="1"/>
      <c r="E650" s="1"/>
      <c r="F650" s="1"/>
      <c r="G650" s="1"/>
    </row>
    <row r="651" spans="3:7" ht="15.75" customHeight="1" x14ac:dyDescent="0.25">
      <c r="C651" s="1"/>
      <c r="D651" s="1"/>
      <c r="E651" s="1"/>
      <c r="F651" s="1"/>
      <c r="G651" s="1"/>
    </row>
    <row r="652" spans="3:7" ht="15.75" customHeight="1" x14ac:dyDescent="0.25">
      <c r="C652" s="1"/>
      <c r="D652" s="1"/>
      <c r="E652" s="1"/>
      <c r="F652" s="1"/>
      <c r="G652" s="1"/>
    </row>
    <row r="653" spans="3:7" ht="15.75" customHeight="1" x14ac:dyDescent="0.25">
      <c r="C653" s="1"/>
      <c r="D653" s="1"/>
      <c r="E653" s="1"/>
      <c r="F653" s="1"/>
      <c r="G653" s="1"/>
    </row>
    <row r="654" spans="3:7" ht="15.75" customHeight="1" x14ac:dyDescent="0.25">
      <c r="C654" s="1"/>
      <c r="D654" s="1"/>
      <c r="E654" s="1"/>
      <c r="F654" s="1"/>
      <c r="G654" s="1"/>
    </row>
    <row r="655" spans="3:7" ht="15.75" customHeight="1" x14ac:dyDescent="0.25">
      <c r="C655" s="1"/>
      <c r="D655" s="1"/>
      <c r="E655" s="1"/>
      <c r="F655" s="1"/>
      <c r="G655" s="1"/>
    </row>
    <row r="656" spans="3:7" ht="15.75" customHeight="1" x14ac:dyDescent="0.25">
      <c r="C656" s="1"/>
      <c r="D656" s="1"/>
      <c r="E656" s="1"/>
      <c r="F656" s="1"/>
      <c r="G656" s="1"/>
    </row>
    <row r="657" spans="3:7" ht="15.75" customHeight="1" x14ac:dyDescent="0.25">
      <c r="C657" s="1"/>
      <c r="D657" s="1"/>
      <c r="E657" s="1"/>
      <c r="F657" s="1"/>
      <c r="G657" s="1"/>
    </row>
    <row r="658" spans="3:7" ht="15.75" customHeight="1" x14ac:dyDescent="0.25">
      <c r="C658" s="1"/>
      <c r="D658" s="1"/>
      <c r="E658" s="1"/>
      <c r="F658" s="1"/>
      <c r="G658" s="1"/>
    </row>
    <row r="659" spans="3:7" ht="15.75" customHeight="1" x14ac:dyDescent="0.25">
      <c r="C659" s="1"/>
      <c r="D659" s="1"/>
      <c r="E659" s="1"/>
      <c r="F659" s="1"/>
      <c r="G659" s="1"/>
    </row>
    <row r="660" spans="3:7" ht="15.75" customHeight="1" x14ac:dyDescent="0.25">
      <c r="C660" s="1"/>
      <c r="D660" s="1"/>
      <c r="E660" s="1"/>
      <c r="F660" s="1"/>
      <c r="G660" s="1"/>
    </row>
    <row r="661" spans="3:7" ht="15.75" customHeight="1" x14ac:dyDescent="0.25">
      <c r="C661" s="1"/>
      <c r="D661" s="1"/>
      <c r="E661" s="1"/>
      <c r="F661" s="1"/>
      <c r="G661" s="1"/>
    </row>
    <row r="662" spans="3:7" ht="15.75" customHeight="1" x14ac:dyDescent="0.25">
      <c r="C662" s="1"/>
      <c r="D662" s="1"/>
      <c r="E662" s="1"/>
      <c r="F662" s="1"/>
      <c r="G662" s="1"/>
    </row>
    <row r="663" spans="3:7" ht="15.75" customHeight="1" x14ac:dyDescent="0.25">
      <c r="C663" s="1"/>
      <c r="D663" s="1"/>
      <c r="E663" s="1"/>
      <c r="F663" s="1"/>
      <c r="G663" s="1"/>
    </row>
    <row r="664" spans="3:7" ht="15.75" customHeight="1" x14ac:dyDescent="0.25">
      <c r="C664" s="1"/>
      <c r="D664" s="1"/>
      <c r="E664" s="1"/>
      <c r="F664" s="1"/>
      <c r="G664" s="1"/>
    </row>
    <row r="665" spans="3:7" ht="15.75" customHeight="1" x14ac:dyDescent="0.25">
      <c r="C665" s="1"/>
      <c r="D665" s="1"/>
      <c r="E665" s="1"/>
      <c r="F665" s="1"/>
      <c r="G665" s="1"/>
    </row>
    <row r="666" spans="3:7" ht="15.75" customHeight="1" x14ac:dyDescent="0.25">
      <c r="C666" s="1"/>
      <c r="D666" s="1"/>
      <c r="E666" s="1"/>
      <c r="F666" s="1"/>
      <c r="G666" s="1"/>
    </row>
    <row r="667" spans="3:7" ht="15.75" customHeight="1" x14ac:dyDescent="0.25">
      <c r="C667" s="1"/>
      <c r="D667" s="1"/>
      <c r="E667" s="1"/>
      <c r="F667" s="1"/>
      <c r="G667" s="1"/>
    </row>
    <row r="668" spans="3:7" ht="15.75" customHeight="1" x14ac:dyDescent="0.25">
      <c r="C668" s="1"/>
      <c r="D668" s="1"/>
      <c r="E668" s="1"/>
      <c r="F668" s="1"/>
      <c r="G668" s="1"/>
    </row>
    <row r="669" spans="3:7" ht="15.75" customHeight="1" x14ac:dyDescent="0.25">
      <c r="C669" s="1"/>
      <c r="D669" s="1"/>
      <c r="E669" s="1"/>
      <c r="F669" s="1"/>
      <c r="G669" s="1"/>
    </row>
    <row r="670" spans="3:7" ht="15.75" customHeight="1" x14ac:dyDescent="0.25">
      <c r="C670" s="1"/>
      <c r="D670" s="1"/>
      <c r="E670" s="1"/>
      <c r="F670" s="1"/>
      <c r="G670" s="1"/>
    </row>
    <row r="671" spans="3:7" ht="15.75" customHeight="1" x14ac:dyDescent="0.25">
      <c r="C671" s="1"/>
      <c r="D671" s="1"/>
      <c r="E671" s="1"/>
      <c r="F671" s="1"/>
      <c r="G671" s="1"/>
    </row>
    <row r="672" spans="3:7" ht="15.75" customHeight="1" x14ac:dyDescent="0.25">
      <c r="C672" s="1"/>
      <c r="D672" s="1"/>
      <c r="E672" s="1"/>
      <c r="F672" s="1"/>
      <c r="G672" s="1"/>
    </row>
    <row r="673" spans="3:7" ht="15.75" customHeight="1" x14ac:dyDescent="0.25">
      <c r="C673" s="1"/>
      <c r="D673" s="1"/>
      <c r="E673" s="1"/>
      <c r="F673" s="1"/>
      <c r="G673" s="1"/>
    </row>
    <row r="674" spans="3:7" ht="15.75" customHeight="1" x14ac:dyDescent="0.25">
      <c r="C674" s="1"/>
      <c r="D674" s="1"/>
      <c r="E674" s="1"/>
      <c r="F674" s="1"/>
      <c r="G674" s="1"/>
    </row>
    <row r="675" spans="3:7" ht="15.75" customHeight="1" x14ac:dyDescent="0.25">
      <c r="C675" s="1"/>
      <c r="D675" s="1"/>
      <c r="E675" s="1"/>
      <c r="F675" s="1"/>
      <c r="G675" s="1"/>
    </row>
    <row r="676" spans="3:7" ht="15.75" customHeight="1" x14ac:dyDescent="0.25">
      <c r="C676" s="1"/>
      <c r="D676" s="1"/>
      <c r="E676" s="1"/>
      <c r="F676" s="1"/>
      <c r="G676" s="1"/>
    </row>
    <row r="677" spans="3:7" ht="15.75" customHeight="1" x14ac:dyDescent="0.25">
      <c r="C677" s="1"/>
      <c r="D677" s="1"/>
      <c r="E677" s="1"/>
      <c r="F677" s="1"/>
      <c r="G677" s="1"/>
    </row>
    <row r="678" spans="3:7" ht="15.75" customHeight="1" x14ac:dyDescent="0.25">
      <c r="C678" s="1"/>
      <c r="D678" s="1"/>
      <c r="E678" s="1"/>
      <c r="F678" s="1"/>
      <c r="G678" s="1"/>
    </row>
    <row r="679" spans="3:7" ht="15.75" customHeight="1" x14ac:dyDescent="0.25">
      <c r="C679" s="1"/>
      <c r="D679" s="1"/>
      <c r="E679" s="1"/>
      <c r="F679" s="1"/>
      <c r="G679" s="1"/>
    </row>
    <row r="680" spans="3:7" ht="15.75" customHeight="1" x14ac:dyDescent="0.25">
      <c r="C680" s="1"/>
      <c r="D680" s="1"/>
      <c r="E680" s="1"/>
      <c r="F680" s="1"/>
      <c r="G680" s="1"/>
    </row>
    <row r="681" spans="3:7" ht="15.75" customHeight="1" x14ac:dyDescent="0.25">
      <c r="C681" s="1"/>
      <c r="D681" s="1"/>
      <c r="E681" s="1"/>
      <c r="F681" s="1"/>
      <c r="G681" s="1"/>
    </row>
    <row r="682" spans="3:7" ht="15.75" customHeight="1" x14ac:dyDescent="0.25">
      <c r="C682" s="1"/>
      <c r="D682" s="1"/>
      <c r="E682" s="1"/>
      <c r="F682" s="1"/>
      <c r="G682" s="1"/>
    </row>
    <row r="683" spans="3:7" ht="15.75" customHeight="1" x14ac:dyDescent="0.25">
      <c r="C683" s="1"/>
      <c r="D683" s="1"/>
      <c r="E683" s="1"/>
      <c r="F683" s="1"/>
      <c r="G683" s="1"/>
    </row>
    <row r="684" spans="3:7" ht="15.75" customHeight="1" x14ac:dyDescent="0.25">
      <c r="C684" s="1"/>
      <c r="D684" s="1"/>
      <c r="E684" s="1"/>
      <c r="F684" s="1"/>
      <c r="G684" s="1"/>
    </row>
    <row r="685" spans="3:7" ht="15.75" customHeight="1" x14ac:dyDescent="0.25">
      <c r="C685" s="1"/>
      <c r="D685" s="1"/>
      <c r="E685" s="1"/>
      <c r="F685" s="1"/>
      <c r="G685" s="1"/>
    </row>
    <row r="686" spans="3:7" ht="15.75" customHeight="1" x14ac:dyDescent="0.25">
      <c r="C686" s="1"/>
      <c r="D686" s="1"/>
      <c r="E686" s="1"/>
      <c r="F686" s="1"/>
      <c r="G686" s="1"/>
    </row>
    <row r="687" spans="3:7" ht="15.75" customHeight="1" x14ac:dyDescent="0.25">
      <c r="C687" s="1"/>
      <c r="D687" s="1"/>
      <c r="E687" s="1"/>
      <c r="F687" s="1"/>
      <c r="G687" s="1"/>
    </row>
    <row r="688" spans="3:7" ht="15.75" customHeight="1" x14ac:dyDescent="0.25">
      <c r="C688" s="1"/>
      <c r="D688" s="1"/>
      <c r="E688" s="1"/>
      <c r="F688" s="1"/>
      <c r="G688" s="1"/>
    </row>
    <row r="689" spans="3:7" ht="15.75" customHeight="1" x14ac:dyDescent="0.25">
      <c r="C689" s="1"/>
      <c r="D689" s="1"/>
      <c r="E689" s="1"/>
      <c r="F689" s="1"/>
      <c r="G689" s="1"/>
    </row>
    <row r="690" spans="3:7" ht="15.75" customHeight="1" x14ac:dyDescent="0.25">
      <c r="C690" s="1"/>
      <c r="D690" s="1"/>
      <c r="E690" s="1"/>
      <c r="F690" s="1"/>
      <c r="G690" s="1"/>
    </row>
    <row r="691" spans="3:7" ht="15.75" customHeight="1" x14ac:dyDescent="0.25">
      <c r="C691" s="1"/>
      <c r="D691" s="1"/>
      <c r="E691" s="1"/>
      <c r="F691" s="1"/>
      <c r="G691" s="1"/>
    </row>
    <row r="692" spans="3:7" ht="15.75" customHeight="1" x14ac:dyDescent="0.25">
      <c r="C692" s="1"/>
      <c r="D692" s="1"/>
      <c r="E692" s="1"/>
      <c r="F692" s="1"/>
      <c r="G692" s="1"/>
    </row>
    <row r="693" spans="3:7" ht="15.75" customHeight="1" x14ac:dyDescent="0.25">
      <c r="C693" s="1"/>
      <c r="D693" s="1"/>
      <c r="E693" s="1"/>
      <c r="F693" s="1"/>
      <c r="G693" s="1"/>
    </row>
    <row r="694" spans="3:7" ht="15.75" customHeight="1" x14ac:dyDescent="0.25">
      <c r="C694" s="1"/>
      <c r="D694" s="1"/>
      <c r="E694" s="1"/>
      <c r="F694" s="1"/>
      <c r="G694" s="1"/>
    </row>
    <row r="695" spans="3:7" ht="15.75" customHeight="1" x14ac:dyDescent="0.25">
      <c r="C695" s="1"/>
      <c r="D695" s="1"/>
      <c r="E695" s="1"/>
      <c r="F695" s="1"/>
      <c r="G695" s="1"/>
    </row>
    <row r="696" spans="3:7" ht="15.75" customHeight="1" x14ac:dyDescent="0.25">
      <c r="C696" s="1"/>
      <c r="D696" s="1"/>
      <c r="E696" s="1"/>
      <c r="F696" s="1"/>
      <c r="G696" s="1"/>
    </row>
    <row r="697" spans="3:7" ht="15.75" customHeight="1" x14ac:dyDescent="0.25">
      <c r="C697" s="1"/>
      <c r="D697" s="1"/>
      <c r="E697" s="1"/>
      <c r="F697" s="1"/>
      <c r="G697" s="1"/>
    </row>
    <row r="698" spans="3:7" ht="15.75" customHeight="1" x14ac:dyDescent="0.25">
      <c r="C698" s="1"/>
      <c r="D698" s="1"/>
      <c r="E698" s="1"/>
      <c r="F698" s="1"/>
      <c r="G698" s="1"/>
    </row>
    <row r="699" spans="3:7" ht="15.75" customHeight="1" x14ac:dyDescent="0.25">
      <c r="C699" s="1"/>
      <c r="D699" s="1"/>
      <c r="E699" s="1"/>
      <c r="F699" s="1"/>
      <c r="G699" s="1"/>
    </row>
    <row r="700" spans="3:7" ht="15.75" customHeight="1" x14ac:dyDescent="0.25">
      <c r="C700" s="1"/>
      <c r="D700" s="1"/>
      <c r="E700" s="1"/>
      <c r="F700" s="1"/>
      <c r="G700" s="1"/>
    </row>
    <row r="701" spans="3:7" ht="15.75" customHeight="1" x14ac:dyDescent="0.25">
      <c r="C701" s="1"/>
      <c r="D701" s="1"/>
      <c r="E701" s="1"/>
      <c r="F701" s="1"/>
      <c r="G701" s="1"/>
    </row>
    <row r="702" spans="3:7" ht="15.75" customHeight="1" x14ac:dyDescent="0.25">
      <c r="C702" s="1"/>
      <c r="D702" s="1"/>
      <c r="E702" s="1"/>
      <c r="F702" s="1"/>
      <c r="G702" s="1"/>
    </row>
    <row r="703" spans="3:7" ht="15.75" customHeight="1" x14ac:dyDescent="0.25">
      <c r="C703" s="1"/>
      <c r="D703" s="1"/>
      <c r="E703" s="1"/>
      <c r="F703" s="1"/>
      <c r="G703" s="1"/>
    </row>
    <row r="704" spans="3:7" ht="15.75" customHeight="1" x14ac:dyDescent="0.25">
      <c r="C704" s="1"/>
      <c r="D704" s="1"/>
      <c r="E704" s="1"/>
      <c r="F704" s="1"/>
      <c r="G704" s="1"/>
    </row>
    <row r="705" spans="3:7" ht="15.75" customHeight="1" x14ac:dyDescent="0.25">
      <c r="C705" s="1"/>
      <c r="D705" s="1"/>
      <c r="E705" s="1"/>
      <c r="F705" s="1"/>
      <c r="G705" s="1"/>
    </row>
    <row r="706" spans="3:7" ht="15.75" customHeight="1" x14ac:dyDescent="0.25">
      <c r="C706" s="1"/>
      <c r="D706" s="1"/>
      <c r="E706" s="1"/>
      <c r="F706" s="1"/>
      <c r="G706" s="1"/>
    </row>
    <row r="707" spans="3:7" ht="15.75" customHeight="1" x14ac:dyDescent="0.25">
      <c r="C707" s="1"/>
      <c r="D707" s="1"/>
      <c r="E707" s="1"/>
      <c r="F707" s="1"/>
      <c r="G707" s="1"/>
    </row>
    <row r="708" spans="3:7" ht="15.75" customHeight="1" x14ac:dyDescent="0.25">
      <c r="C708" s="1"/>
      <c r="D708" s="1"/>
      <c r="E708" s="1"/>
      <c r="F708" s="1"/>
      <c r="G708" s="1"/>
    </row>
    <row r="709" spans="3:7" ht="15.75" customHeight="1" x14ac:dyDescent="0.25">
      <c r="C709" s="1"/>
      <c r="D709" s="1"/>
      <c r="E709" s="1"/>
      <c r="F709" s="1"/>
      <c r="G709" s="1"/>
    </row>
    <row r="710" spans="3:7" ht="15.75" customHeight="1" x14ac:dyDescent="0.25">
      <c r="C710" s="1"/>
      <c r="D710" s="1"/>
      <c r="E710" s="1"/>
      <c r="F710" s="1"/>
      <c r="G710" s="1"/>
    </row>
    <row r="711" spans="3:7" ht="15.75" customHeight="1" x14ac:dyDescent="0.25">
      <c r="C711" s="1"/>
      <c r="D711" s="1"/>
      <c r="E711" s="1"/>
      <c r="F711" s="1"/>
      <c r="G711" s="1"/>
    </row>
    <row r="712" spans="3:7" ht="15.75" customHeight="1" x14ac:dyDescent="0.25">
      <c r="C712" s="1"/>
      <c r="D712" s="1"/>
      <c r="E712" s="1"/>
      <c r="F712" s="1"/>
      <c r="G712" s="1"/>
    </row>
    <row r="713" spans="3:7" ht="15.75" customHeight="1" x14ac:dyDescent="0.25">
      <c r="C713" s="1"/>
      <c r="D713" s="1"/>
      <c r="E713" s="1"/>
      <c r="F713" s="1"/>
      <c r="G713" s="1"/>
    </row>
    <row r="714" spans="3:7" ht="15.75" customHeight="1" x14ac:dyDescent="0.25">
      <c r="C714" s="1"/>
      <c r="D714" s="1"/>
      <c r="E714" s="1"/>
      <c r="F714" s="1"/>
      <c r="G714" s="1"/>
    </row>
    <row r="715" spans="3:7" ht="15.75" customHeight="1" x14ac:dyDescent="0.25">
      <c r="C715" s="1"/>
      <c r="D715" s="1"/>
      <c r="E715" s="1"/>
      <c r="F715" s="1"/>
      <c r="G715" s="1"/>
    </row>
    <row r="716" spans="3:7" ht="15.75" customHeight="1" x14ac:dyDescent="0.25">
      <c r="C716" s="1"/>
      <c r="D716" s="1"/>
      <c r="E716" s="1"/>
      <c r="F716" s="1"/>
      <c r="G716" s="1"/>
    </row>
    <row r="717" spans="3:7" ht="15.75" customHeight="1" x14ac:dyDescent="0.25">
      <c r="C717" s="1"/>
      <c r="D717" s="1"/>
      <c r="E717" s="1"/>
      <c r="F717" s="1"/>
      <c r="G717" s="1"/>
    </row>
    <row r="718" spans="3:7" ht="15.75" customHeight="1" x14ac:dyDescent="0.25">
      <c r="C718" s="1"/>
      <c r="D718" s="1"/>
      <c r="E718" s="1"/>
      <c r="F718" s="1"/>
      <c r="G718" s="1"/>
    </row>
    <row r="719" spans="3:7" ht="15.75" customHeight="1" x14ac:dyDescent="0.25">
      <c r="C719" s="1"/>
      <c r="D719" s="1"/>
      <c r="E719" s="1"/>
      <c r="F719" s="1"/>
      <c r="G719" s="1"/>
    </row>
    <row r="720" spans="3:7" ht="15.75" customHeight="1" x14ac:dyDescent="0.25">
      <c r="C720" s="1"/>
      <c r="D720" s="1"/>
      <c r="E720" s="1"/>
      <c r="F720" s="1"/>
      <c r="G720" s="1"/>
    </row>
    <row r="721" spans="3:7" ht="15.75" customHeight="1" x14ac:dyDescent="0.25">
      <c r="C721" s="1"/>
      <c r="D721" s="1"/>
      <c r="E721" s="1"/>
      <c r="F721" s="1"/>
      <c r="G721" s="1"/>
    </row>
    <row r="722" spans="3:7" ht="15.75" customHeight="1" x14ac:dyDescent="0.25">
      <c r="C722" s="1"/>
      <c r="D722" s="1"/>
      <c r="E722" s="1"/>
      <c r="F722" s="1"/>
      <c r="G722" s="1"/>
    </row>
    <row r="723" spans="3:7" ht="15.75" customHeight="1" x14ac:dyDescent="0.25">
      <c r="C723" s="1"/>
      <c r="D723" s="1"/>
      <c r="E723" s="1"/>
      <c r="F723" s="1"/>
      <c r="G723" s="1"/>
    </row>
    <row r="724" spans="3:7" ht="15.75" customHeight="1" x14ac:dyDescent="0.25">
      <c r="C724" s="1"/>
      <c r="D724" s="1"/>
      <c r="E724" s="1"/>
      <c r="F724" s="1"/>
      <c r="G724" s="1"/>
    </row>
    <row r="725" spans="3:7" ht="15.75" customHeight="1" x14ac:dyDescent="0.25">
      <c r="C725" s="1"/>
      <c r="D725" s="1"/>
      <c r="E725" s="1"/>
      <c r="F725" s="1"/>
      <c r="G725" s="1"/>
    </row>
    <row r="726" spans="3:7" ht="15.75" customHeight="1" x14ac:dyDescent="0.25">
      <c r="C726" s="1"/>
      <c r="D726" s="1"/>
      <c r="E726" s="1"/>
      <c r="F726" s="1"/>
      <c r="G726" s="1"/>
    </row>
    <row r="727" spans="3:7" ht="15.75" customHeight="1" x14ac:dyDescent="0.25">
      <c r="C727" s="1"/>
      <c r="D727" s="1"/>
      <c r="E727" s="1"/>
      <c r="F727" s="1"/>
      <c r="G727" s="1"/>
    </row>
    <row r="728" spans="3:7" ht="15.75" customHeight="1" x14ac:dyDescent="0.25">
      <c r="C728" s="1"/>
      <c r="D728" s="1"/>
      <c r="E728" s="1"/>
      <c r="F728" s="1"/>
      <c r="G728" s="1"/>
    </row>
    <row r="729" spans="3:7" ht="15.75" customHeight="1" x14ac:dyDescent="0.25">
      <c r="C729" s="1"/>
      <c r="D729" s="1"/>
      <c r="E729" s="1"/>
      <c r="F729" s="1"/>
      <c r="G729" s="1"/>
    </row>
    <row r="730" spans="3:7" ht="15.75" customHeight="1" x14ac:dyDescent="0.25">
      <c r="C730" s="1"/>
      <c r="D730" s="1"/>
      <c r="E730" s="1"/>
      <c r="F730" s="1"/>
      <c r="G730" s="1"/>
    </row>
    <row r="731" spans="3:7" ht="15.75" customHeight="1" x14ac:dyDescent="0.25">
      <c r="C731" s="1"/>
      <c r="D731" s="1"/>
      <c r="E731" s="1"/>
      <c r="F731" s="1"/>
      <c r="G731" s="1"/>
    </row>
    <row r="732" spans="3:7" ht="15.75" customHeight="1" x14ac:dyDescent="0.25">
      <c r="C732" s="1"/>
      <c r="D732" s="1"/>
      <c r="E732" s="1"/>
      <c r="F732" s="1"/>
      <c r="G732" s="1"/>
    </row>
    <row r="733" spans="3:7" ht="15.75" customHeight="1" x14ac:dyDescent="0.25">
      <c r="C733" s="1"/>
      <c r="D733" s="1"/>
      <c r="E733" s="1"/>
      <c r="F733" s="1"/>
      <c r="G733" s="1"/>
    </row>
    <row r="734" spans="3:7" ht="15.75" customHeight="1" x14ac:dyDescent="0.25">
      <c r="C734" s="1"/>
      <c r="D734" s="1"/>
      <c r="E734" s="1"/>
      <c r="F734" s="1"/>
      <c r="G734" s="1"/>
    </row>
    <row r="735" spans="3:7" ht="15.75" customHeight="1" x14ac:dyDescent="0.25">
      <c r="C735" s="1"/>
      <c r="D735" s="1"/>
      <c r="E735" s="1"/>
      <c r="F735" s="1"/>
      <c r="G735" s="1"/>
    </row>
    <row r="736" spans="3:7" ht="15.75" customHeight="1" x14ac:dyDescent="0.25">
      <c r="C736" s="1"/>
      <c r="D736" s="1"/>
      <c r="E736" s="1"/>
      <c r="F736" s="1"/>
      <c r="G736" s="1"/>
    </row>
    <row r="737" spans="3:7" ht="15.75" customHeight="1" x14ac:dyDescent="0.25">
      <c r="C737" s="1"/>
      <c r="D737" s="1"/>
      <c r="E737" s="1"/>
      <c r="F737" s="1"/>
      <c r="G737" s="1"/>
    </row>
    <row r="738" spans="3:7" ht="15.75" customHeight="1" x14ac:dyDescent="0.25">
      <c r="C738" s="1"/>
      <c r="D738" s="1"/>
      <c r="E738" s="1"/>
      <c r="F738" s="1"/>
      <c r="G738" s="1"/>
    </row>
    <row r="739" spans="3:7" ht="15.75" customHeight="1" x14ac:dyDescent="0.25">
      <c r="C739" s="1"/>
      <c r="D739" s="1"/>
      <c r="E739" s="1"/>
      <c r="F739" s="1"/>
      <c r="G739" s="1"/>
    </row>
    <row r="740" spans="3:7" ht="15.75" customHeight="1" x14ac:dyDescent="0.25">
      <c r="C740" s="1"/>
      <c r="D740" s="1"/>
      <c r="E740" s="1"/>
      <c r="F740" s="1"/>
      <c r="G740" s="1"/>
    </row>
    <row r="741" spans="3:7" ht="15.75" customHeight="1" x14ac:dyDescent="0.25">
      <c r="C741" s="1"/>
      <c r="D741" s="1"/>
      <c r="E741" s="1"/>
      <c r="F741" s="1"/>
      <c r="G741" s="1"/>
    </row>
    <row r="742" spans="3:7" ht="15.75" customHeight="1" x14ac:dyDescent="0.25">
      <c r="C742" s="1"/>
      <c r="D742" s="1"/>
      <c r="E742" s="1"/>
      <c r="F742" s="1"/>
      <c r="G742" s="1"/>
    </row>
    <row r="743" spans="3:7" ht="15.75" customHeight="1" x14ac:dyDescent="0.25">
      <c r="C743" s="1"/>
      <c r="D743" s="1"/>
      <c r="E743" s="1"/>
      <c r="F743" s="1"/>
      <c r="G743" s="1"/>
    </row>
    <row r="744" spans="3:7" ht="15.75" customHeight="1" x14ac:dyDescent="0.25">
      <c r="C744" s="1"/>
      <c r="D744" s="1"/>
      <c r="E744" s="1"/>
      <c r="F744" s="1"/>
      <c r="G744" s="1"/>
    </row>
    <row r="745" spans="3:7" ht="15.75" customHeight="1" x14ac:dyDescent="0.25">
      <c r="C745" s="1"/>
      <c r="D745" s="1"/>
      <c r="E745" s="1"/>
      <c r="F745" s="1"/>
      <c r="G745" s="1"/>
    </row>
    <row r="746" spans="3:7" ht="15.75" customHeight="1" x14ac:dyDescent="0.25">
      <c r="C746" s="1"/>
      <c r="D746" s="1"/>
      <c r="E746" s="1"/>
      <c r="F746" s="1"/>
      <c r="G746" s="1"/>
    </row>
    <row r="747" spans="3:7" ht="15.75" customHeight="1" x14ac:dyDescent="0.25">
      <c r="C747" s="1"/>
      <c r="D747" s="1"/>
      <c r="E747" s="1"/>
      <c r="F747" s="1"/>
      <c r="G747" s="1"/>
    </row>
    <row r="748" spans="3:7" ht="15.75" customHeight="1" x14ac:dyDescent="0.25">
      <c r="C748" s="1"/>
      <c r="D748" s="1"/>
      <c r="E748" s="1"/>
      <c r="F748" s="1"/>
      <c r="G748" s="1"/>
    </row>
    <row r="749" spans="3:7" ht="15.75" customHeight="1" x14ac:dyDescent="0.25">
      <c r="C749" s="1"/>
      <c r="D749" s="1"/>
      <c r="E749" s="1"/>
      <c r="F749" s="1"/>
      <c r="G749" s="1"/>
    </row>
    <row r="750" spans="3:7" ht="15.75" customHeight="1" x14ac:dyDescent="0.25">
      <c r="C750" s="1"/>
      <c r="D750" s="1"/>
      <c r="E750" s="1"/>
      <c r="F750" s="1"/>
      <c r="G750" s="1"/>
    </row>
    <row r="751" spans="3:7" ht="15.75" customHeight="1" x14ac:dyDescent="0.25">
      <c r="C751" s="1"/>
      <c r="D751" s="1"/>
      <c r="E751" s="1"/>
      <c r="F751" s="1"/>
      <c r="G751" s="1"/>
    </row>
    <row r="752" spans="3:7" ht="15.75" customHeight="1" x14ac:dyDescent="0.25">
      <c r="C752" s="1"/>
      <c r="D752" s="1"/>
      <c r="E752" s="1"/>
      <c r="F752" s="1"/>
      <c r="G752" s="1"/>
    </row>
    <row r="753" spans="3:7" ht="15.75" customHeight="1" x14ac:dyDescent="0.25">
      <c r="C753" s="1"/>
      <c r="D753" s="1"/>
      <c r="E753" s="1"/>
      <c r="F753" s="1"/>
      <c r="G753" s="1"/>
    </row>
    <row r="754" spans="3:7" ht="15.75" customHeight="1" x14ac:dyDescent="0.25">
      <c r="C754" s="1"/>
      <c r="D754" s="1"/>
      <c r="E754" s="1"/>
      <c r="F754" s="1"/>
      <c r="G754" s="1"/>
    </row>
    <row r="755" spans="3:7" ht="15.75" customHeight="1" x14ac:dyDescent="0.25">
      <c r="C755" s="1"/>
      <c r="D755" s="1"/>
      <c r="E755" s="1"/>
      <c r="F755" s="1"/>
      <c r="G755" s="1"/>
    </row>
    <row r="756" spans="3:7" ht="15.75" customHeight="1" x14ac:dyDescent="0.25">
      <c r="C756" s="1"/>
      <c r="D756" s="1"/>
      <c r="E756" s="1"/>
      <c r="F756" s="1"/>
      <c r="G756" s="1"/>
    </row>
    <row r="757" spans="3:7" ht="15.75" customHeight="1" x14ac:dyDescent="0.25">
      <c r="C757" s="1"/>
      <c r="D757" s="1"/>
      <c r="E757" s="1"/>
      <c r="F757" s="1"/>
      <c r="G757" s="1"/>
    </row>
    <row r="758" spans="3:7" ht="15.75" customHeight="1" x14ac:dyDescent="0.25">
      <c r="C758" s="1"/>
      <c r="D758" s="1"/>
      <c r="E758" s="1"/>
      <c r="F758" s="1"/>
      <c r="G758" s="1"/>
    </row>
    <row r="759" spans="3:7" ht="15.75" customHeight="1" x14ac:dyDescent="0.25">
      <c r="C759" s="1"/>
      <c r="D759" s="1"/>
      <c r="E759" s="1"/>
      <c r="F759" s="1"/>
      <c r="G759" s="1"/>
    </row>
    <row r="760" spans="3:7" ht="15.75" customHeight="1" x14ac:dyDescent="0.25">
      <c r="C760" s="1"/>
      <c r="D760" s="1"/>
      <c r="E760" s="1"/>
      <c r="F760" s="1"/>
      <c r="G760" s="1"/>
    </row>
    <row r="761" spans="3:7" ht="15.75" customHeight="1" x14ac:dyDescent="0.25">
      <c r="C761" s="1"/>
      <c r="D761" s="1"/>
      <c r="E761" s="1"/>
      <c r="F761" s="1"/>
      <c r="G761" s="1"/>
    </row>
    <row r="762" spans="3:7" ht="15.75" customHeight="1" x14ac:dyDescent="0.25">
      <c r="C762" s="1"/>
      <c r="D762" s="1"/>
      <c r="E762" s="1"/>
      <c r="F762" s="1"/>
      <c r="G762" s="1"/>
    </row>
    <row r="763" spans="3:7" ht="15.75" customHeight="1" x14ac:dyDescent="0.25">
      <c r="C763" s="1"/>
      <c r="D763" s="1"/>
      <c r="E763" s="1"/>
      <c r="F763" s="1"/>
      <c r="G763" s="1"/>
    </row>
    <row r="764" spans="3:7" ht="15.75" customHeight="1" x14ac:dyDescent="0.25">
      <c r="C764" s="1"/>
      <c r="D764" s="1"/>
      <c r="E764" s="1"/>
      <c r="F764" s="1"/>
      <c r="G764" s="1"/>
    </row>
    <row r="765" spans="3:7" ht="15.75" customHeight="1" x14ac:dyDescent="0.25">
      <c r="C765" s="1"/>
      <c r="D765" s="1"/>
      <c r="E765" s="1"/>
      <c r="F765" s="1"/>
      <c r="G765" s="1"/>
    </row>
    <row r="766" spans="3:7" ht="15.75" customHeight="1" x14ac:dyDescent="0.25">
      <c r="C766" s="1"/>
      <c r="D766" s="1"/>
      <c r="E766" s="1"/>
      <c r="F766" s="1"/>
      <c r="G766" s="1"/>
    </row>
    <row r="767" spans="3:7" ht="15.75" customHeight="1" x14ac:dyDescent="0.25">
      <c r="C767" s="1"/>
      <c r="D767" s="1"/>
      <c r="E767" s="1"/>
      <c r="F767" s="1"/>
      <c r="G767" s="1"/>
    </row>
    <row r="768" spans="3:7" ht="15.75" customHeight="1" x14ac:dyDescent="0.25">
      <c r="C768" s="1"/>
      <c r="D768" s="1"/>
      <c r="E768" s="1"/>
      <c r="F768" s="1"/>
      <c r="G768" s="1"/>
    </row>
    <row r="769" spans="3:7" ht="15.75" customHeight="1" x14ac:dyDescent="0.25">
      <c r="C769" s="1"/>
      <c r="D769" s="1"/>
      <c r="E769" s="1"/>
      <c r="F769" s="1"/>
      <c r="G769" s="1"/>
    </row>
    <row r="770" spans="3:7" ht="15.75" customHeight="1" x14ac:dyDescent="0.25">
      <c r="C770" s="1"/>
      <c r="D770" s="1"/>
      <c r="E770" s="1"/>
      <c r="F770" s="1"/>
      <c r="G770" s="1"/>
    </row>
    <row r="771" spans="3:7" ht="15.75" customHeight="1" x14ac:dyDescent="0.25">
      <c r="C771" s="1"/>
      <c r="D771" s="1"/>
      <c r="E771" s="1"/>
      <c r="F771" s="1"/>
      <c r="G771" s="1"/>
    </row>
    <row r="772" spans="3:7" ht="15.75" customHeight="1" x14ac:dyDescent="0.25">
      <c r="C772" s="1"/>
      <c r="D772" s="1"/>
      <c r="E772" s="1"/>
      <c r="F772" s="1"/>
      <c r="G772" s="1"/>
    </row>
    <row r="773" spans="3:7" ht="15.75" customHeight="1" x14ac:dyDescent="0.25">
      <c r="C773" s="1"/>
      <c r="D773" s="1"/>
      <c r="E773" s="1"/>
      <c r="F773" s="1"/>
      <c r="G773" s="1"/>
    </row>
    <row r="774" spans="3:7" ht="15.75" customHeight="1" x14ac:dyDescent="0.25">
      <c r="C774" s="1"/>
      <c r="D774" s="1"/>
      <c r="E774" s="1"/>
      <c r="F774" s="1"/>
      <c r="G774" s="1"/>
    </row>
    <row r="775" spans="3:7" ht="15.75" customHeight="1" x14ac:dyDescent="0.25">
      <c r="C775" s="1"/>
      <c r="D775" s="1"/>
      <c r="E775" s="1"/>
      <c r="F775" s="1"/>
      <c r="G775" s="1"/>
    </row>
    <row r="776" spans="3:7" ht="15.75" customHeight="1" x14ac:dyDescent="0.25">
      <c r="C776" s="1"/>
      <c r="D776" s="1"/>
      <c r="E776" s="1"/>
      <c r="F776" s="1"/>
      <c r="G776" s="1"/>
    </row>
    <row r="777" spans="3:7" ht="15.75" customHeight="1" x14ac:dyDescent="0.25">
      <c r="C777" s="1"/>
      <c r="D777" s="1"/>
      <c r="E777" s="1"/>
      <c r="F777" s="1"/>
      <c r="G777" s="1"/>
    </row>
    <row r="778" spans="3:7" ht="15.75" customHeight="1" x14ac:dyDescent="0.25">
      <c r="C778" s="1"/>
      <c r="D778" s="1"/>
      <c r="E778" s="1"/>
      <c r="F778" s="1"/>
      <c r="G778" s="1"/>
    </row>
    <row r="779" spans="3:7" ht="15.75" customHeight="1" x14ac:dyDescent="0.25">
      <c r="C779" s="1"/>
      <c r="D779" s="1"/>
      <c r="E779" s="1"/>
      <c r="F779" s="1"/>
      <c r="G779" s="1"/>
    </row>
    <row r="780" spans="3:7" ht="15.75" customHeight="1" x14ac:dyDescent="0.25">
      <c r="C780" s="1"/>
      <c r="D780" s="1"/>
      <c r="E780" s="1"/>
      <c r="F780" s="1"/>
      <c r="G780" s="1"/>
    </row>
    <row r="781" spans="3:7" ht="15.75" customHeight="1" x14ac:dyDescent="0.25">
      <c r="C781" s="1"/>
      <c r="D781" s="1"/>
      <c r="E781" s="1"/>
      <c r="F781" s="1"/>
      <c r="G781" s="1"/>
    </row>
    <row r="782" spans="3:7" ht="15.75" customHeight="1" x14ac:dyDescent="0.25">
      <c r="C782" s="1"/>
      <c r="D782" s="1"/>
      <c r="E782" s="1"/>
      <c r="F782" s="1"/>
      <c r="G782" s="1"/>
    </row>
    <row r="783" spans="3:7" ht="15.75" customHeight="1" x14ac:dyDescent="0.25">
      <c r="C783" s="1"/>
      <c r="D783" s="1"/>
      <c r="E783" s="1"/>
      <c r="F783" s="1"/>
      <c r="G783" s="1"/>
    </row>
    <row r="784" spans="3:7" ht="15.75" customHeight="1" x14ac:dyDescent="0.25">
      <c r="C784" s="1"/>
      <c r="D784" s="1"/>
      <c r="E784" s="1"/>
      <c r="F784" s="1"/>
      <c r="G784" s="1"/>
    </row>
    <row r="785" spans="3:7" ht="15.75" customHeight="1" x14ac:dyDescent="0.25">
      <c r="C785" s="1"/>
      <c r="D785" s="1"/>
      <c r="E785" s="1"/>
      <c r="F785" s="1"/>
      <c r="G785" s="1"/>
    </row>
    <row r="786" spans="3:7" ht="15.75" customHeight="1" x14ac:dyDescent="0.25">
      <c r="C786" s="1"/>
      <c r="D786" s="1"/>
      <c r="E786" s="1"/>
      <c r="F786" s="1"/>
      <c r="G786" s="1"/>
    </row>
    <row r="787" spans="3:7" ht="15.75" customHeight="1" x14ac:dyDescent="0.25">
      <c r="C787" s="1"/>
      <c r="D787" s="1"/>
      <c r="E787" s="1"/>
      <c r="F787" s="1"/>
      <c r="G787" s="1"/>
    </row>
    <row r="788" spans="3:7" ht="15.75" customHeight="1" x14ac:dyDescent="0.25">
      <c r="C788" s="1"/>
      <c r="D788" s="1"/>
      <c r="E788" s="1"/>
      <c r="F788" s="1"/>
      <c r="G788" s="1"/>
    </row>
    <row r="789" spans="3:7" ht="15.75" customHeight="1" x14ac:dyDescent="0.25">
      <c r="C789" s="1"/>
      <c r="D789" s="1"/>
      <c r="E789" s="1"/>
      <c r="F789" s="1"/>
      <c r="G789" s="1"/>
    </row>
    <row r="790" spans="3:7" ht="15.75" customHeight="1" x14ac:dyDescent="0.25">
      <c r="C790" s="1"/>
      <c r="D790" s="1"/>
      <c r="E790" s="1"/>
      <c r="F790" s="1"/>
      <c r="G790" s="1"/>
    </row>
    <row r="791" spans="3:7" ht="15.75" customHeight="1" x14ac:dyDescent="0.25">
      <c r="C791" s="1"/>
      <c r="D791" s="1"/>
      <c r="E791" s="1"/>
      <c r="F791" s="1"/>
      <c r="G791" s="1"/>
    </row>
    <row r="792" spans="3:7" ht="15.75" customHeight="1" x14ac:dyDescent="0.25">
      <c r="C792" s="1"/>
      <c r="D792" s="1"/>
      <c r="E792" s="1"/>
      <c r="F792" s="1"/>
      <c r="G792" s="1"/>
    </row>
    <row r="793" spans="3:7" ht="15.75" customHeight="1" x14ac:dyDescent="0.25">
      <c r="C793" s="1"/>
      <c r="D793" s="1"/>
      <c r="E793" s="1"/>
      <c r="F793" s="1"/>
      <c r="G793" s="1"/>
    </row>
    <row r="794" spans="3:7" ht="15.75" customHeight="1" x14ac:dyDescent="0.25">
      <c r="C794" s="1"/>
      <c r="D794" s="1"/>
      <c r="E794" s="1"/>
      <c r="F794" s="1"/>
      <c r="G794" s="1"/>
    </row>
    <row r="795" spans="3:7" ht="15.75" customHeight="1" x14ac:dyDescent="0.25">
      <c r="C795" s="1"/>
      <c r="D795" s="1"/>
      <c r="E795" s="1"/>
      <c r="F795" s="1"/>
      <c r="G795" s="1"/>
    </row>
    <row r="796" spans="3:7" ht="15.75" customHeight="1" x14ac:dyDescent="0.25">
      <c r="C796" s="1"/>
      <c r="D796" s="1"/>
      <c r="E796" s="1"/>
      <c r="F796" s="1"/>
      <c r="G796" s="1"/>
    </row>
    <row r="797" spans="3:7" ht="15.75" customHeight="1" x14ac:dyDescent="0.25">
      <c r="C797" s="1"/>
      <c r="D797" s="1"/>
      <c r="E797" s="1"/>
      <c r="F797" s="1"/>
      <c r="G797" s="1"/>
    </row>
    <row r="798" spans="3:7" ht="15.75" customHeight="1" x14ac:dyDescent="0.25">
      <c r="C798" s="1"/>
      <c r="D798" s="1"/>
      <c r="E798" s="1"/>
      <c r="F798" s="1"/>
      <c r="G798" s="1"/>
    </row>
    <row r="799" spans="3:7" ht="15.75" customHeight="1" x14ac:dyDescent="0.25">
      <c r="C799" s="1"/>
      <c r="D799" s="1"/>
      <c r="E799" s="1"/>
      <c r="F799" s="1"/>
      <c r="G799" s="1"/>
    </row>
    <row r="800" spans="3:7" ht="15.75" customHeight="1" x14ac:dyDescent="0.25">
      <c r="C800" s="1"/>
      <c r="D800" s="1"/>
      <c r="E800" s="1"/>
      <c r="F800" s="1"/>
      <c r="G800" s="1"/>
    </row>
    <row r="801" spans="3:7" ht="15.75" customHeight="1" x14ac:dyDescent="0.25">
      <c r="C801" s="1"/>
      <c r="D801" s="1"/>
      <c r="E801" s="1"/>
      <c r="F801" s="1"/>
      <c r="G801" s="1"/>
    </row>
    <row r="802" spans="3:7" ht="15.75" customHeight="1" x14ac:dyDescent="0.25">
      <c r="C802" s="1"/>
      <c r="D802" s="1"/>
      <c r="E802" s="1"/>
      <c r="F802" s="1"/>
      <c r="G802" s="1"/>
    </row>
    <row r="803" spans="3:7" ht="15.75" customHeight="1" x14ac:dyDescent="0.25">
      <c r="C803" s="1"/>
      <c r="D803" s="1"/>
      <c r="E803" s="1"/>
      <c r="F803" s="1"/>
      <c r="G803" s="1"/>
    </row>
    <row r="804" spans="3:7" ht="15.75" customHeight="1" x14ac:dyDescent="0.25">
      <c r="C804" s="1"/>
      <c r="D804" s="1"/>
      <c r="E804" s="1"/>
      <c r="F804" s="1"/>
      <c r="G804" s="1"/>
    </row>
    <row r="805" spans="3:7" ht="15.75" customHeight="1" x14ac:dyDescent="0.25">
      <c r="C805" s="1"/>
      <c r="D805" s="1"/>
      <c r="E805" s="1"/>
      <c r="F805" s="1"/>
      <c r="G805" s="1"/>
    </row>
    <row r="806" spans="3:7" ht="15.75" customHeight="1" x14ac:dyDescent="0.25">
      <c r="C806" s="1"/>
      <c r="D806" s="1"/>
      <c r="E806" s="1"/>
      <c r="F806" s="1"/>
      <c r="G806" s="1"/>
    </row>
    <row r="807" spans="3:7" ht="15.75" customHeight="1" x14ac:dyDescent="0.25">
      <c r="C807" s="1"/>
      <c r="D807" s="1"/>
      <c r="E807" s="1"/>
      <c r="F807" s="1"/>
      <c r="G807" s="1"/>
    </row>
    <row r="808" spans="3:7" ht="15.75" customHeight="1" x14ac:dyDescent="0.25">
      <c r="C808" s="1"/>
      <c r="D808" s="1"/>
      <c r="E808" s="1"/>
      <c r="F808" s="1"/>
      <c r="G808" s="1"/>
    </row>
    <row r="809" spans="3:7" ht="15.75" customHeight="1" x14ac:dyDescent="0.25">
      <c r="C809" s="1"/>
      <c r="D809" s="1"/>
      <c r="E809" s="1"/>
      <c r="F809" s="1"/>
      <c r="G809" s="1"/>
    </row>
    <row r="810" spans="3:7" ht="15.75" customHeight="1" x14ac:dyDescent="0.25">
      <c r="C810" s="1"/>
      <c r="D810" s="1"/>
      <c r="E810" s="1"/>
      <c r="F810" s="1"/>
      <c r="G810" s="1"/>
    </row>
    <row r="811" spans="3:7" ht="15.75" customHeight="1" x14ac:dyDescent="0.25">
      <c r="C811" s="1"/>
      <c r="D811" s="1"/>
      <c r="E811" s="1"/>
      <c r="F811" s="1"/>
      <c r="G811" s="1"/>
    </row>
    <row r="812" spans="3:7" ht="15.75" customHeight="1" x14ac:dyDescent="0.25">
      <c r="C812" s="1"/>
      <c r="D812" s="1"/>
      <c r="E812" s="1"/>
      <c r="F812" s="1"/>
      <c r="G812" s="1"/>
    </row>
    <row r="813" spans="3:7" ht="15.75" customHeight="1" x14ac:dyDescent="0.25">
      <c r="C813" s="1"/>
      <c r="D813" s="1"/>
      <c r="E813" s="1"/>
      <c r="F813" s="1"/>
      <c r="G813" s="1"/>
    </row>
    <row r="814" spans="3:7" ht="15.75" customHeight="1" x14ac:dyDescent="0.25">
      <c r="C814" s="1"/>
      <c r="D814" s="1"/>
      <c r="E814" s="1"/>
      <c r="F814" s="1"/>
      <c r="G814" s="1"/>
    </row>
    <row r="815" spans="3:7" ht="15.75" customHeight="1" x14ac:dyDescent="0.25">
      <c r="C815" s="1"/>
      <c r="D815" s="1"/>
      <c r="E815" s="1"/>
      <c r="F815" s="1"/>
      <c r="G815" s="1"/>
    </row>
    <row r="816" spans="3:7" ht="15.75" customHeight="1" x14ac:dyDescent="0.25">
      <c r="C816" s="1"/>
      <c r="D816" s="1"/>
      <c r="E816" s="1"/>
      <c r="F816" s="1"/>
      <c r="G816" s="1"/>
    </row>
    <row r="817" spans="3:7" ht="15.75" customHeight="1" x14ac:dyDescent="0.25">
      <c r="C817" s="1"/>
      <c r="D817" s="1"/>
      <c r="E817" s="1"/>
      <c r="F817" s="1"/>
      <c r="G817" s="1"/>
    </row>
    <row r="818" spans="3:7" ht="15.75" customHeight="1" x14ac:dyDescent="0.25">
      <c r="C818" s="1"/>
      <c r="D818" s="1"/>
      <c r="E818" s="1"/>
      <c r="F818" s="1"/>
      <c r="G818" s="1"/>
    </row>
    <row r="819" spans="3:7" ht="15.75" customHeight="1" x14ac:dyDescent="0.25">
      <c r="C819" s="1"/>
      <c r="D819" s="1"/>
      <c r="E819" s="1"/>
      <c r="F819" s="1"/>
      <c r="G819" s="1"/>
    </row>
    <row r="820" spans="3:7" ht="15.75" customHeight="1" x14ac:dyDescent="0.25">
      <c r="C820" s="1"/>
      <c r="D820" s="1"/>
      <c r="E820" s="1"/>
      <c r="F820" s="1"/>
      <c r="G820" s="1"/>
    </row>
    <row r="821" spans="3:7" ht="15.75" customHeight="1" x14ac:dyDescent="0.25">
      <c r="C821" s="1"/>
      <c r="D821" s="1"/>
      <c r="E821" s="1"/>
      <c r="F821" s="1"/>
      <c r="G821" s="1"/>
    </row>
    <row r="822" spans="3:7" ht="15.75" customHeight="1" x14ac:dyDescent="0.25">
      <c r="C822" s="1"/>
      <c r="D822" s="1"/>
      <c r="E822" s="1"/>
      <c r="F822" s="1"/>
      <c r="G822" s="1"/>
    </row>
    <row r="823" spans="3:7" ht="15.75" customHeight="1" x14ac:dyDescent="0.25">
      <c r="C823" s="1"/>
      <c r="D823" s="1"/>
      <c r="E823" s="1"/>
      <c r="F823" s="1"/>
      <c r="G823" s="1"/>
    </row>
    <row r="824" spans="3:7" ht="15.75" customHeight="1" x14ac:dyDescent="0.25">
      <c r="C824" s="1"/>
      <c r="D824" s="1"/>
      <c r="E824" s="1"/>
      <c r="F824" s="1"/>
      <c r="G824" s="1"/>
    </row>
    <row r="825" spans="3:7" ht="15.75" customHeight="1" x14ac:dyDescent="0.25">
      <c r="C825" s="1"/>
      <c r="D825" s="1"/>
      <c r="E825" s="1"/>
      <c r="F825" s="1"/>
      <c r="G825" s="1"/>
    </row>
    <row r="826" spans="3:7" ht="15.75" customHeight="1" x14ac:dyDescent="0.25">
      <c r="C826" s="1"/>
      <c r="D826" s="1"/>
      <c r="E826" s="1"/>
      <c r="F826" s="1"/>
      <c r="G826" s="1"/>
    </row>
    <row r="827" spans="3:7" ht="15.75" customHeight="1" x14ac:dyDescent="0.25">
      <c r="C827" s="1"/>
      <c r="D827" s="1"/>
      <c r="E827" s="1"/>
      <c r="F827" s="1"/>
      <c r="G827" s="1"/>
    </row>
    <row r="828" spans="3:7" ht="15.75" customHeight="1" x14ac:dyDescent="0.25">
      <c r="C828" s="1"/>
      <c r="D828" s="1"/>
      <c r="E828" s="1"/>
      <c r="F828" s="1"/>
      <c r="G828" s="1"/>
    </row>
    <row r="829" spans="3:7" ht="15.75" customHeight="1" x14ac:dyDescent="0.25">
      <c r="C829" s="1"/>
      <c r="D829" s="1"/>
      <c r="E829" s="1"/>
      <c r="F829" s="1"/>
      <c r="G829" s="1"/>
    </row>
    <row r="830" spans="3:7" ht="15.75" customHeight="1" x14ac:dyDescent="0.25">
      <c r="C830" s="1"/>
      <c r="D830" s="1"/>
      <c r="E830" s="1"/>
      <c r="F830" s="1"/>
      <c r="G830" s="1"/>
    </row>
    <row r="831" spans="3:7" ht="15.75" customHeight="1" x14ac:dyDescent="0.25">
      <c r="C831" s="1"/>
      <c r="D831" s="1"/>
      <c r="E831" s="1"/>
      <c r="F831" s="1"/>
      <c r="G831" s="1"/>
    </row>
    <row r="832" spans="3:7" ht="15.75" customHeight="1" x14ac:dyDescent="0.25">
      <c r="C832" s="1"/>
      <c r="D832" s="1"/>
      <c r="E832" s="1"/>
      <c r="F832" s="1"/>
      <c r="G832" s="1"/>
    </row>
    <row r="833" spans="3:7" ht="15.75" customHeight="1" x14ac:dyDescent="0.25">
      <c r="C833" s="1"/>
      <c r="D833" s="1"/>
      <c r="E833" s="1"/>
      <c r="F833" s="1"/>
      <c r="G833" s="1"/>
    </row>
    <row r="834" spans="3:7" ht="15.75" customHeight="1" x14ac:dyDescent="0.25">
      <c r="C834" s="1"/>
      <c r="D834" s="1"/>
      <c r="E834" s="1"/>
      <c r="F834" s="1"/>
      <c r="G834" s="1"/>
    </row>
    <row r="835" spans="3:7" ht="15.75" customHeight="1" x14ac:dyDescent="0.25">
      <c r="C835" s="1"/>
      <c r="D835" s="1"/>
      <c r="E835" s="1"/>
      <c r="F835" s="1"/>
      <c r="G835" s="1"/>
    </row>
    <row r="836" spans="3:7" ht="15.75" customHeight="1" x14ac:dyDescent="0.25">
      <c r="C836" s="1"/>
      <c r="D836" s="1"/>
      <c r="E836" s="1"/>
      <c r="F836" s="1"/>
      <c r="G836" s="1"/>
    </row>
    <row r="837" spans="3:7" ht="15.75" customHeight="1" x14ac:dyDescent="0.25">
      <c r="C837" s="1"/>
      <c r="D837" s="1"/>
      <c r="E837" s="1"/>
      <c r="F837" s="1"/>
      <c r="G837" s="1"/>
    </row>
    <row r="838" spans="3:7" ht="15.75" customHeight="1" x14ac:dyDescent="0.25">
      <c r="C838" s="1"/>
      <c r="D838" s="1"/>
      <c r="E838" s="1"/>
      <c r="F838" s="1"/>
      <c r="G838" s="1"/>
    </row>
    <row r="839" spans="3:7" ht="15.75" customHeight="1" x14ac:dyDescent="0.25">
      <c r="C839" s="1"/>
      <c r="D839" s="1"/>
      <c r="E839" s="1"/>
      <c r="F839" s="1"/>
      <c r="G839" s="1"/>
    </row>
    <row r="840" spans="3:7" ht="15.75" customHeight="1" x14ac:dyDescent="0.25">
      <c r="C840" s="1"/>
      <c r="D840" s="1"/>
      <c r="E840" s="1"/>
      <c r="F840" s="1"/>
      <c r="G840" s="1"/>
    </row>
    <row r="841" spans="3:7" ht="15.75" customHeight="1" x14ac:dyDescent="0.25">
      <c r="C841" s="1"/>
      <c r="D841" s="1"/>
      <c r="E841" s="1"/>
      <c r="F841" s="1"/>
      <c r="G841" s="1"/>
    </row>
    <row r="842" spans="3:7" ht="15.75" customHeight="1" x14ac:dyDescent="0.25">
      <c r="C842" s="1"/>
      <c r="D842" s="1"/>
      <c r="E842" s="1"/>
      <c r="F842" s="1"/>
      <c r="G842" s="1"/>
    </row>
    <row r="843" spans="3:7" ht="15.75" customHeight="1" x14ac:dyDescent="0.25">
      <c r="C843" s="1"/>
      <c r="D843" s="1"/>
      <c r="E843" s="1"/>
      <c r="F843" s="1"/>
      <c r="G843" s="1"/>
    </row>
    <row r="844" spans="3:7" ht="15.75" customHeight="1" x14ac:dyDescent="0.25">
      <c r="C844" s="1"/>
      <c r="D844" s="1"/>
      <c r="E844" s="1"/>
      <c r="F844" s="1"/>
      <c r="G844" s="1"/>
    </row>
    <row r="845" spans="3:7" ht="15.75" customHeight="1" x14ac:dyDescent="0.25">
      <c r="C845" s="1"/>
      <c r="D845" s="1"/>
      <c r="E845" s="1"/>
      <c r="F845" s="1"/>
      <c r="G845" s="1"/>
    </row>
    <row r="846" spans="3:7" ht="15.75" customHeight="1" x14ac:dyDescent="0.25">
      <c r="C846" s="1"/>
      <c r="D846" s="1"/>
      <c r="E846" s="1"/>
      <c r="F846" s="1"/>
      <c r="G846" s="1"/>
    </row>
    <row r="847" spans="3:7" ht="15.75" customHeight="1" x14ac:dyDescent="0.25">
      <c r="C847" s="1"/>
      <c r="D847" s="1"/>
      <c r="E847" s="1"/>
      <c r="F847" s="1"/>
      <c r="G847" s="1"/>
    </row>
    <row r="848" spans="3:7" ht="15.75" customHeight="1" x14ac:dyDescent="0.25">
      <c r="C848" s="1"/>
      <c r="D848" s="1"/>
      <c r="E848" s="1"/>
      <c r="F848" s="1"/>
      <c r="G848" s="1"/>
    </row>
    <row r="849" spans="3:7" ht="15.75" customHeight="1" x14ac:dyDescent="0.25">
      <c r="C849" s="1"/>
      <c r="D849" s="1"/>
      <c r="E849" s="1"/>
      <c r="F849" s="1"/>
      <c r="G849" s="1"/>
    </row>
    <row r="850" spans="3:7" ht="15.75" customHeight="1" x14ac:dyDescent="0.25">
      <c r="C850" s="1"/>
      <c r="D850" s="1"/>
      <c r="E850" s="1"/>
      <c r="F850" s="1"/>
      <c r="G850" s="1"/>
    </row>
    <row r="851" spans="3:7" ht="15.75" customHeight="1" x14ac:dyDescent="0.25">
      <c r="C851" s="1"/>
      <c r="D851" s="1"/>
      <c r="E851" s="1"/>
      <c r="F851" s="1"/>
      <c r="G851" s="1"/>
    </row>
    <row r="852" spans="3:7" ht="15.75" customHeight="1" x14ac:dyDescent="0.25">
      <c r="C852" s="1"/>
      <c r="D852" s="1"/>
      <c r="E852" s="1"/>
      <c r="F852" s="1"/>
      <c r="G852" s="1"/>
    </row>
    <row r="853" spans="3:7" ht="15.75" customHeight="1" x14ac:dyDescent="0.25">
      <c r="C853" s="1"/>
      <c r="D853" s="1"/>
      <c r="E853" s="1"/>
      <c r="F853" s="1"/>
      <c r="G853" s="1"/>
    </row>
    <row r="854" spans="3:7" ht="15.75" customHeight="1" x14ac:dyDescent="0.25">
      <c r="C854" s="1"/>
      <c r="D854" s="1"/>
      <c r="E854" s="1"/>
      <c r="F854" s="1"/>
      <c r="G854" s="1"/>
    </row>
    <row r="855" spans="3:7" ht="15.75" customHeight="1" x14ac:dyDescent="0.25">
      <c r="C855" s="1"/>
      <c r="D855" s="1"/>
      <c r="E855" s="1"/>
      <c r="F855" s="1"/>
      <c r="G855" s="1"/>
    </row>
    <row r="856" spans="3:7" ht="15.75" customHeight="1" x14ac:dyDescent="0.25">
      <c r="C856" s="1"/>
      <c r="D856" s="1"/>
      <c r="E856" s="1"/>
      <c r="F856" s="1"/>
      <c r="G856" s="1"/>
    </row>
    <row r="857" spans="3:7" ht="15.75" customHeight="1" x14ac:dyDescent="0.25">
      <c r="C857" s="1"/>
      <c r="D857" s="1"/>
      <c r="E857" s="1"/>
      <c r="F857" s="1"/>
      <c r="G857" s="1"/>
    </row>
    <row r="858" spans="3:7" ht="15.75" customHeight="1" x14ac:dyDescent="0.25">
      <c r="C858" s="1"/>
      <c r="D858" s="1"/>
      <c r="E858" s="1"/>
      <c r="F858" s="1"/>
      <c r="G858" s="1"/>
    </row>
    <row r="859" spans="3:7" ht="15.75" customHeight="1" x14ac:dyDescent="0.25">
      <c r="C859" s="1"/>
      <c r="D859" s="1"/>
      <c r="E859" s="1"/>
      <c r="F859" s="1"/>
      <c r="G859" s="1"/>
    </row>
    <row r="860" spans="3:7" ht="15.75" customHeight="1" x14ac:dyDescent="0.25">
      <c r="C860" s="1"/>
      <c r="D860" s="1"/>
      <c r="E860" s="1"/>
      <c r="F860" s="1"/>
      <c r="G860" s="1"/>
    </row>
    <row r="861" spans="3:7" ht="15.75" customHeight="1" x14ac:dyDescent="0.25">
      <c r="C861" s="1"/>
      <c r="D861" s="1"/>
      <c r="E861" s="1"/>
      <c r="F861" s="1"/>
      <c r="G861" s="1"/>
    </row>
    <row r="862" spans="3:7" ht="15.75" customHeight="1" x14ac:dyDescent="0.25">
      <c r="C862" s="1"/>
      <c r="D862" s="1"/>
      <c r="E862" s="1"/>
      <c r="F862" s="1"/>
      <c r="G862" s="1"/>
    </row>
    <row r="863" spans="3:7" ht="15.75" customHeight="1" x14ac:dyDescent="0.25">
      <c r="C863" s="1"/>
      <c r="D863" s="1"/>
      <c r="E863" s="1"/>
      <c r="F863" s="1"/>
      <c r="G863" s="1"/>
    </row>
    <row r="864" spans="3:7" ht="15.75" customHeight="1" x14ac:dyDescent="0.25">
      <c r="C864" s="1"/>
      <c r="D864" s="1"/>
      <c r="E864" s="1"/>
      <c r="F864" s="1"/>
      <c r="G864" s="1"/>
    </row>
    <row r="865" spans="3:7" ht="15.75" customHeight="1" x14ac:dyDescent="0.25">
      <c r="C865" s="1"/>
      <c r="D865" s="1"/>
      <c r="E865" s="1"/>
      <c r="F865" s="1"/>
      <c r="G865" s="1"/>
    </row>
    <row r="866" spans="3:7" ht="15.75" customHeight="1" x14ac:dyDescent="0.25">
      <c r="C866" s="1"/>
      <c r="D866" s="1"/>
      <c r="E866" s="1"/>
      <c r="F866" s="1"/>
      <c r="G866" s="1"/>
    </row>
    <row r="867" spans="3:7" ht="15.75" customHeight="1" x14ac:dyDescent="0.25">
      <c r="C867" s="1"/>
      <c r="D867" s="1"/>
      <c r="E867" s="1"/>
      <c r="F867" s="1"/>
      <c r="G867" s="1"/>
    </row>
    <row r="868" spans="3:7" ht="15.75" customHeight="1" x14ac:dyDescent="0.25">
      <c r="C868" s="1"/>
      <c r="D868" s="1"/>
      <c r="E868" s="1"/>
      <c r="F868" s="1"/>
      <c r="G868" s="1"/>
    </row>
    <row r="869" spans="3:7" ht="15.75" customHeight="1" x14ac:dyDescent="0.25">
      <c r="C869" s="1"/>
      <c r="D869" s="1"/>
      <c r="E869" s="1"/>
      <c r="F869" s="1"/>
      <c r="G869" s="1"/>
    </row>
    <row r="870" spans="3:7" ht="15.75" customHeight="1" x14ac:dyDescent="0.25">
      <c r="C870" s="1"/>
      <c r="D870" s="1"/>
      <c r="E870" s="1"/>
      <c r="F870" s="1"/>
      <c r="G870" s="1"/>
    </row>
    <row r="871" spans="3:7" ht="15.75" customHeight="1" x14ac:dyDescent="0.25">
      <c r="C871" s="1"/>
      <c r="D871" s="1"/>
      <c r="E871" s="1"/>
      <c r="F871" s="1"/>
      <c r="G871" s="1"/>
    </row>
    <row r="872" spans="3:7" ht="15.75" customHeight="1" x14ac:dyDescent="0.25">
      <c r="C872" s="1"/>
      <c r="D872" s="1"/>
      <c r="E872" s="1"/>
      <c r="F872" s="1"/>
      <c r="G872" s="1"/>
    </row>
    <row r="873" spans="3:7" ht="15.75" customHeight="1" x14ac:dyDescent="0.25">
      <c r="C873" s="1"/>
      <c r="D873" s="1"/>
      <c r="E873" s="1"/>
      <c r="F873" s="1"/>
      <c r="G873" s="1"/>
    </row>
    <row r="874" spans="3:7" ht="15.75" customHeight="1" x14ac:dyDescent="0.25">
      <c r="C874" s="1"/>
      <c r="D874" s="1"/>
      <c r="E874" s="1"/>
      <c r="F874" s="1"/>
      <c r="G874" s="1"/>
    </row>
    <row r="875" spans="3:7" ht="15.75" customHeight="1" x14ac:dyDescent="0.25">
      <c r="C875" s="1"/>
      <c r="D875" s="1"/>
      <c r="E875" s="1"/>
      <c r="F875" s="1"/>
      <c r="G875" s="1"/>
    </row>
    <row r="876" spans="3:7" ht="15.75" customHeight="1" x14ac:dyDescent="0.25">
      <c r="C876" s="1"/>
      <c r="D876" s="1"/>
      <c r="E876" s="1"/>
      <c r="F876" s="1"/>
      <c r="G876" s="1"/>
    </row>
    <row r="877" spans="3:7" ht="15.75" customHeight="1" x14ac:dyDescent="0.25">
      <c r="C877" s="1"/>
      <c r="D877" s="1"/>
      <c r="E877" s="1"/>
      <c r="F877" s="1"/>
      <c r="G877" s="1"/>
    </row>
    <row r="878" spans="3:7" ht="15.75" customHeight="1" x14ac:dyDescent="0.25">
      <c r="C878" s="1"/>
      <c r="D878" s="1"/>
      <c r="E878" s="1"/>
      <c r="F878" s="1"/>
      <c r="G878" s="1"/>
    </row>
    <row r="879" spans="3:7" ht="15.75" customHeight="1" x14ac:dyDescent="0.25">
      <c r="C879" s="1"/>
      <c r="D879" s="1"/>
      <c r="E879" s="1"/>
      <c r="F879" s="1"/>
      <c r="G879" s="1"/>
    </row>
    <row r="880" spans="3:7" ht="15.75" customHeight="1" x14ac:dyDescent="0.25">
      <c r="C880" s="1"/>
      <c r="D880" s="1"/>
      <c r="E880" s="1"/>
      <c r="F880" s="1"/>
      <c r="G880" s="1"/>
    </row>
    <row r="881" spans="3:7" ht="15.75" customHeight="1" x14ac:dyDescent="0.25">
      <c r="C881" s="1"/>
      <c r="D881" s="1"/>
      <c r="E881" s="1"/>
      <c r="F881" s="1"/>
      <c r="G881" s="1"/>
    </row>
    <row r="882" spans="3:7" ht="15.75" customHeight="1" x14ac:dyDescent="0.25">
      <c r="C882" s="1"/>
      <c r="D882" s="1"/>
      <c r="E882" s="1"/>
      <c r="F882" s="1"/>
      <c r="G882" s="1"/>
    </row>
    <row r="883" spans="3:7" ht="15.75" customHeight="1" x14ac:dyDescent="0.25">
      <c r="C883" s="1"/>
      <c r="D883" s="1"/>
      <c r="E883" s="1"/>
      <c r="F883" s="1"/>
      <c r="G883" s="1"/>
    </row>
    <row r="884" spans="3:7" ht="15.75" customHeight="1" x14ac:dyDescent="0.25">
      <c r="C884" s="1"/>
      <c r="D884" s="1"/>
      <c r="E884" s="1"/>
      <c r="F884" s="1"/>
      <c r="G884" s="1"/>
    </row>
    <row r="885" spans="3:7" ht="15.75" customHeight="1" x14ac:dyDescent="0.25">
      <c r="C885" s="1"/>
      <c r="D885" s="1"/>
      <c r="E885" s="1"/>
      <c r="F885" s="1"/>
      <c r="G885" s="1"/>
    </row>
    <row r="886" spans="3:7" ht="15.75" customHeight="1" x14ac:dyDescent="0.25">
      <c r="C886" s="1"/>
      <c r="D886" s="1"/>
      <c r="E886" s="1"/>
      <c r="F886" s="1"/>
      <c r="G886" s="1"/>
    </row>
    <row r="887" spans="3:7" ht="15.75" customHeight="1" x14ac:dyDescent="0.25">
      <c r="C887" s="1"/>
      <c r="D887" s="1"/>
      <c r="E887" s="1"/>
      <c r="F887" s="1"/>
      <c r="G887" s="1"/>
    </row>
    <row r="888" spans="3:7" ht="15.75" customHeight="1" x14ac:dyDescent="0.25">
      <c r="C888" s="1"/>
      <c r="D888" s="1"/>
      <c r="E888" s="1"/>
      <c r="F888" s="1"/>
      <c r="G888" s="1"/>
    </row>
    <row r="889" spans="3:7" ht="15.75" customHeight="1" x14ac:dyDescent="0.25">
      <c r="C889" s="1"/>
      <c r="D889" s="1"/>
      <c r="E889" s="1"/>
      <c r="F889" s="1"/>
      <c r="G889" s="1"/>
    </row>
    <row r="890" spans="3:7" ht="15.75" customHeight="1" x14ac:dyDescent="0.25">
      <c r="C890" s="1"/>
      <c r="D890" s="1"/>
      <c r="E890" s="1"/>
      <c r="F890" s="1"/>
      <c r="G890" s="1"/>
    </row>
    <row r="891" spans="3:7" ht="15.75" customHeight="1" x14ac:dyDescent="0.25">
      <c r="C891" s="1"/>
      <c r="D891" s="1"/>
      <c r="E891" s="1"/>
      <c r="F891" s="1"/>
      <c r="G891" s="1"/>
    </row>
    <row r="892" spans="3:7" ht="15.75" customHeight="1" x14ac:dyDescent="0.25">
      <c r="C892" s="1"/>
      <c r="D892" s="1"/>
      <c r="E892" s="1"/>
      <c r="F892" s="1"/>
      <c r="G892" s="1"/>
    </row>
    <row r="893" spans="3:7" ht="15.75" customHeight="1" x14ac:dyDescent="0.25">
      <c r="C893" s="1"/>
      <c r="D893" s="1"/>
      <c r="E893" s="1"/>
      <c r="F893" s="1"/>
      <c r="G893" s="1"/>
    </row>
    <row r="894" spans="3:7" ht="15.75" customHeight="1" x14ac:dyDescent="0.25">
      <c r="C894" s="1"/>
      <c r="D894" s="1"/>
      <c r="E894" s="1"/>
      <c r="F894" s="1"/>
      <c r="G894" s="1"/>
    </row>
    <row r="895" spans="3:7" ht="15.75" customHeight="1" x14ac:dyDescent="0.25">
      <c r="C895" s="1"/>
      <c r="D895" s="1"/>
      <c r="E895" s="1"/>
      <c r="F895" s="1"/>
      <c r="G895" s="1"/>
    </row>
    <row r="896" spans="3:7" ht="15.75" customHeight="1" x14ac:dyDescent="0.25">
      <c r="C896" s="1"/>
      <c r="D896" s="1"/>
      <c r="E896" s="1"/>
      <c r="F896" s="1"/>
      <c r="G896" s="1"/>
    </row>
    <row r="897" spans="3:7" ht="15.75" customHeight="1" x14ac:dyDescent="0.25">
      <c r="C897" s="1"/>
      <c r="D897" s="1"/>
      <c r="E897" s="1"/>
      <c r="F897" s="1"/>
      <c r="G897" s="1"/>
    </row>
    <row r="898" spans="3:7" ht="15.75" customHeight="1" x14ac:dyDescent="0.25">
      <c r="C898" s="1"/>
      <c r="D898" s="1"/>
      <c r="E898" s="1"/>
      <c r="F898" s="1"/>
      <c r="G898" s="1"/>
    </row>
    <row r="899" spans="3:7" ht="15.75" customHeight="1" x14ac:dyDescent="0.25">
      <c r="C899" s="1"/>
      <c r="D899" s="1"/>
      <c r="E899" s="1"/>
      <c r="F899" s="1"/>
      <c r="G899" s="1"/>
    </row>
    <row r="900" spans="3:7" ht="15.75" customHeight="1" x14ac:dyDescent="0.25">
      <c r="C900" s="1"/>
      <c r="D900" s="1"/>
      <c r="E900" s="1"/>
      <c r="F900" s="1"/>
      <c r="G900" s="1"/>
    </row>
    <row r="901" spans="3:7" ht="15.75" customHeight="1" x14ac:dyDescent="0.25">
      <c r="C901" s="1"/>
      <c r="D901" s="1"/>
      <c r="E901" s="1"/>
      <c r="F901" s="1"/>
      <c r="G901" s="1"/>
    </row>
    <row r="902" spans="3:7" ht="15.75" customHeight="1" x14ac:dyDescent="0.25">
      <c r="C902" s="1"/>
      <c r="D902" s="1"/>
      <c r="E902" s="1"/>
      <c r="F902" s="1"/>
      <c r="G902" s="1"/>
    </row>
    <row r="903" spans="3:7" ht="15.75" customHeight="1" x14ac:dyDescent="0.25">
      <c r="C903" s="1"/>
      <c r="D903" s="1"/>
      <c r="E903" s="1"/>
      <c r="F903" s="1"/>
      <c r="G903" s="1"/>
    </row>
    <row r="904" spans="3:7" ht="15.75" customHeight="1" x14ac:dyDescent="0.25">
      <c r="C904" s="1"/>
      <c r="D904" s="1"/>
      <c r="E904" s="1"/>
      <c r="F904" s="1"/>
      <c r="G904" s="1"/>
    </row>
    <row r="905" spans="3:7" ht="15.75" customHeight="1" x14ac:dyDescent="0.25">
      <c r="C905" s="1"/>
      <c r="D905" s="1"/>
      <c r="E905" s="1"/>
      <c r="F905" s="1"/>
      <c r="G905" s="1"/>
    </row>
    <row r="906" spans="3:7" ht="15.75" customHeight="1" x14ac:dyDescent="0.25">
      <c r="C906" s="1"/>
      <c r="D906" s="1"/>
      <c r="E906" s="1"/>
      <c r="F906" s="1"/>
      <c r="G906" s="1"/>
    </row>
    <row r="907" spans="3:7" ht="15.75" customHeight="1" x14ac:dyDescent="0.25">
      <c r="C907" s="1"/>
      <c r="D907" s="1"/>
      <c r="E907" s="1"/>
      <c r="F907" s="1"/>
      <c r="G907" s="1"/>
    </row>
    <row r="908" spans="3:7" ht="15.75" customHeight="1" x14ac:dyDescent="0.25">
      <c r="C908" s="1"/>
      <c r="D908" s="1"/>
      <c r="E908" s="1"/>
      <c r="F908" s="1"/>
      <c r="G908" s="1"/>
    </row>
    <row r="909" spans="3:7" ht="15.75" customHeight="1" x14ac:dyDescent="0.25">
      <c r="C909" s="1"/>
      <c r="D909" s="1"/>
      <c r="E909" s="1"/>
      <c r="F909" s="1"/>
      <c r="G909" s="1"/>
    </row>
    <row r="910" spans="3:7" ht="15.75" customHeight="1" x14ac:dyDescent="0.25">
      <c r="C910" s="1"/>
      <c r="D910" s="1"/>
      <c r="E910" s="1"/>
      <c r="F910" s="1"/>
      <c r="G910" s="1"/>
    </row>
    <row r="911" spans="3:7" ht="15.75" customHeight="1" x14ac:dyDescent="0.25">
      <c r="C911" s="1"/>
      <c r="D911" s="1"/>
      <c r="E911" s="1"/>
      <c r="F911" s="1"/>
      <c r="G911" s="1"/>
    </row>
    <row r="912" spans="3:7" ht="15.75" customHeight="1" x14ac:dyDescent="0.25">
      <c r="C912" s="1"/>
      <c r="D912" s="1"/>
      <c r="E912" s="1"/>
      <c r="F912" s="1"/>
      <c r="G912" s="1"/>
    </row>
    <row r="913" spans="3:7" ht="15.75" customHeight="1" x14ac:dyDescent="0.25">
      <c r="C913" s="1"/>
      <c r="D913" s="1"/>
      <c r="E913" s="1"/>
      <c r="F913" s="1"/>
      <c r="G913" s="1"/>
    </row>
    <row r="914" spans="3:7" ht="15.75" customHeight="1" x14ac:dyDescent="0.25">
      <c r="C914" s="1"/>
      <c r="D914" s="1"/>
      <c r="E914" s="1"/>
      <c r="F914" s="1"/>
      <c r="G914" s="1"/>
    </row>
    <row r="915" spans="3:7" ht="15.75" customHeight="1" x14ac:dyDescent="0.25">
      <c r="C915" s="1"/>
      <c r="D915" s="1"/>
      <c r="E915" s="1"/>
      <c r="F915" s="1"/>
      <c r="G915" s="1"/>
    </row>
    <row r="916" spans="3:7" ht="15.75" customHeight="1" x14ac:dyDescent="0.25">
      <c r="C916" s="1"/>
      <c r="D916" s="1"/>
      <c r="E916" s="1"/>
      <c r="F916" s="1"/>
      <c r="G916" s="1"/>
    </row>
    <row r="917" spans="3:7" ht="15.75" customHeight="1" x14ac:dyDescent="0.25">
      <c r="C917" s="1"/>
      <c r="D917" s="1"/>
      <c r="E917" s="1"/>
      <c r="F917" s="1"/>
      <c r="G917" s="1"/>
    </row>
    <row r="918" spans="3:7" ht="15.75" customHeight="1" x14ac:dyDescent="0.25">
      <c r="C918" s="1"/>
      <c r="D918" s="1"/>
      <c r="E918" s="1"/>
      <c r="F918" s="1"/>
      <c r="G918" s="1"/>
    </row>
    <row r="919" spans="3:7" ht="15.75" customHeight="1" x14ac:dyDescent="0.25">
      <c r="C919" s="1"/>
      <c r="D919" s="1"/>
      <c r="E919" s="1"/>
      <c r="F919" s="1"/>
      <c r="G919" s="1"/>
    </row>
    <row r="920" spans="3:7" ht="15.75" customHeight="1" x14ac:dyDescent="0.25">
      <c r="C920" s="1"/>
      <c r="D920" s="1"/>
      <c r="E920" s="1"/>
      <c r="F920" s="1"/>
      <c r="G920" s="1"/>
    </row>
    <row r="921" spans="3:7" ht="15.75" customHeight="1" x14ac:dyDescent="0.25">
      <c r="C921" s="1"/>
      <c r="D921" s="1"/>
      <c r="E921" s="1"/>
      <c r="F921" s="1"/>
      <c r="G921" s="1"/>
    </row>
    <row r="922" spans="3:7" ht="15.75" customHeight="1" x14ac:dyDescent="0.25">
      <c r="C922" s="1"/>
      <c r="D922" s="1"/>
      <c r="E922" s="1"/>
      <c r="F922" s="1"/>
      <c r="G922" s="1"/>
    </row>
    <row r="923" spans="3:7" ht="15.75" customHeight="1" x14ac:dyDescent="0.25">
      <c r="C923" s="1"/>
      <c r="D923" s="1"/>
      <c r="E923" s="1"/>
      <c r="F923" s="1"/>
      <c r="G923" s="1"/>
    </row>
    <row r="924" spans="3:7" ht="15.75" customHeight="1" x14ac:dyDescent="0.25">
      <c r="C924" s="1"/>
      <c r="D924" s="1"/>
      <c r="E924" s="1"/>
      <c r="F924" s="1"/>
      <c r="G924" s="1"/>
    </row>
    <row r="925" spans="3:7" ht="15.75" customHeight="1" x14ac:dyDescent="0.25">
      <c r="C925" s="1"/>
      <c r="D925" s="1"/>
      <c r="E925" s="1"/>
      <c r="F925" s="1"/>
      <c r="G925" s="1"/>
    </row>
    <row r="926" spans="3:7" ht="15.75" customHeight="1" x14ac:dyDescent="0.25">
      <c r="C926" s="1"/>
      <c r="D926" s="1"/>
      <c r="E926" s="1"/>
      <c r="F926" s="1"/>
      <c r="G926" s="1"/>
    </row>
    <row r="927" spans="3:7" ht="15.75" customHeight="1" x14ac:dyDescent="0.25">
      <c r="C927" s="1"/>
      <c r="D927" s="1"/>
      <c r="E927" s="1"/>
      <c r="F927" s="1"/>
      <c r="G927" s="1"/>
    </row>
    <row r="928" spans="3:7" ht="15.75" customHeight="1" x14ac:dyDescent="0.25">
      <c r="C928" s="1"/>
      <c r="D928" s="1"/>
      <c r="E928" s="1"/>
      <c r="F928" s="1"/>
      <c r="G928" s="1"/>
    </row>
    <row r="929" spans="3:7" ht="15.75" customHeight="1" x14ac:dyDescent="0.25">
      <c r="C929" s="1"/>
      <c r="D929" s="1"/>
      <c r="E929" s="1"/>
      <c r="F929" s="1"/>
      <c r="G929" s="1"/>
    </row>
    <row r="930" spans="3:7" ht="15.75" customHeight="1" x14ac:dyDescent="0.25">
      <c r="C930" s="1"/>
      <c r="D930" s="1"/>
      <c r="E930" s="1"/>
      <c r="F930" s="1"/>
      <c r="G930" s="1"/>
    </row>
    <row r="931" spans="3:7" ht="15.75" customHeight="1" x14ac:dyDescent="0.25">
      <c r="C931" s="1"/>
      <c r="D931" s="1"/>
      <c r="E931" s="1"/>
      <c r="F931" s="1"/>
      <c r="G931" s="1"/>
    </row>
    <row r="932" spans="3:7" ht="15.75" customHeight="1" x14ac:dyDescent="0.25">
      <c r="C932" s="1"/>
      <c r="D932" s="1"/>
      <c r="E932" s="1"/>
      <c r="F932" s="1"/>
      <c r="G932" s="1"/>
    </row>
    <row r="933" spans="3:7" ht="15.75" customHeight="1" x14ac:dyDescent="0.25">
      <c r="C933" s="1"/>
      <c r="D933" s="1"/>
      <c r="E933" s="1"/>
      <c r="F933" s="1"/>
      <c r="G933" s="1"/>
    </row>
    <row r="934" spans="3:7" ht="15.75" customHeight="1" x14ac:dyDescent="0.25">
      <c r="C934" s="1"/>
      <c r="D934" s="1"/>
      <c r="E934" s="1"/>
      <c r="F934" s="1"/>
      <c r="G934" s="1"/>
    </row>
    <row r="935" spans="3:7" ht="15.75" customHeight="1" x14ac:dyDescent="0.25">
      <c r="C935" s="1"/>
      <c r="D935" s="1"/>
      <c r="E935" s="1"/>
      <c r="F935" s="1"/>
      <c r="G935" s="1"/>
    </row>
    <row r="936" spans="3:7" ht="15.75" customHeight="1" x14ac:dyDescent="0.25">
      <c r="C936" s="1"/>
      <c r="D936" s="1"/>
      <c r="E936" s="1"/>
      <c r="F936" s="1"/>
      <c r="G936" s="1"/>
    </row>
    <row r="937" spans="3:7" ht="15.75" customHeight="1" x14ac:dyDescent="0.25">
      <c r="C937" s="1"/>
      <c r="D937" s="1"/>
      <c r="E937" s="1"/>
      <c r="F937" s="1"/>
      <c r="G937" s="1"/>
    </row>
    <row r="938" spans="3:7" ht="15.75" customHeight="1" x14ac:dyDescent="0.25">
      <c r="C938" s="1"/>
      <c r="D938" s="1"/>
      <c r="E938" s="1"/>
      <c r="F938" s="1"/>
      <c r="G938" s="1"/>
    </row>
    <row r="939" spans="3:7" ht="15.75" customHeight="1" x14ac:dyDescent="0.25">
      <c r="C939" s="1"/>
      <c r="D939" s="1"/>
      <c r="E939" s="1"/>
      <c r="F939" s="1"/>
      <c r="G939" s="1"/>
    </row>
    <row r="940" spans="3:7" ht="15.75" customHeight="1" x14ac:dyDescent="0.25">
      <c r="C940" s="1"/>
      <c r="D940" s="1"/>
      <c r="E940" s="1"/>
      <c r="F940" s="1"/>
      <c r="G940" s="1"/>
    </row>
    <row r="941" spans="3:7" ht="15.75" customHeight="1" x14ac:dyDescent="0.25">
      <c r="C941" s="1"/>
      <c r="D941" s="1"/>
      <c r="E941" s="1"/>
      <c r="F941" s="1"/>
      <c r="G941" s="1"/>
    </row>
    <row r="942" spans="3:7" ht="15.75" customHeight="1" x14ac:dyDescent="0.25">
      <c r="C942" s="1"/>
      <c r="D942" s="1"/>
      <c r="E942" s="1"/>
      <c r="F942" s="1"/>
      <c r="G942" s="1"/>
    </row>
    <row r="943" spans="3:7" ht="15.75" customHeight="1" x14ac:dyDescent="0.25">
      <c r="C943" s="1"/>
      <c r="D943" s="1"/>
      <c r="E943" s="1"/>
      <c r="F943" s="1"/>
      <c r="G943" s="1"/>
    </row>
    <row r="944" spans="3:7" ht="15.75" customHeight="1" x14ac:dyDescent="0.25">
      <c r="C944" s="1"/>
      <c r="D944" s="1"/>
      <c r="E944" s="1"/>
      <c r="F944" s="1"/>
      <c r="G944" s="1"/>
    </row>
    <row r="945" spans="3:7" ht="15.75" customHeight="1" x14ac:dyDescent="0.25">
      <c r="C945" s="1"/>
      <c r="D945" s="1"/>
      <c r="E945" s="1"/>
      <c r="F945" s="1"/>
      <c r="G945" s="1"/>
    </row>
    <row r="946" spans="3:7" ht="15.75" customHeight="1" x14ac:dyDescent="0.25">
      <c r="C946" s="1"/>
      <c r="D946" s="1"/>
      <c r="E946" s="1"/>
      <c r="F946" s="1"/>
      <c r="G946" s="1"/>
    </row>
    <row r="947" spans="3:7" ht="15.75" customHeight="1" x14ac:dyDescent="0.25">
      <c r="C947" s="1"/>
      <c r="D947" s="1"/>
      <c r="E947" s="1"/>
      <c r="F947" s="1"/>
      <c r="G947" s="1"/>
    </row>
    <row r="948" spans="3:7" ht="15.75" customHeight="1" x14ac:dyDescent="0.25">
      <c r="C948" s="1"/>
      <c r="D948" s="1"/>
      <c r="E948" s="1"/>
      <c r="F948" s="1"/>
      <c r="G948" s="1"/>
    </row>
    <row r="949" spans="3:7" ht="15.75" customHeight="1" x14ac:dyDescent="0.25">
      <c r="C949" s="1"/>
      <c r="D949" s="1"/>
      <c r="E949" s="1"/>
      <c r="F949" s="1"/>
      <c r="G949" s="1"/>
    </row>
    <row r="950" spans="3:7" ht="15.75" customHeight="1" x14ac:dyDescent="0.25">
      <c r="C950" s="1"/>
      <c r="D950" s="1"/>
      <c r="E950" s="1"/>
      <c r="F950" s="1"/>
      <c r="G950" s="1"/>
    </row>
    <row r="951" spans="3:7" ht="15.75" customHeight="1" x14ac:dyDescent="0.25">
      <c r="C951" s="1"/>
      <c r="D951" s="1"/>
      <c r="E951" s="1"/>
      <c r="F951" s="1"/>
      <c r="G951" s="1"/>
    </row>
    <row r="952" spans="3:7" ht="15.75" customHeight="1" x14ac:dyDescent="0.25">
      <c r="C952" s="1"/>
      <c r="D952" s="1"/>
      <c r="E952" s="1"/>
      <c r="F952" s="1"/>
      <c r="G952" s="1"/>
    </row>
    <row r="953" spans="3:7" ht="15.75" customHeight="1" x14ac:dyDescent="0.25">
      <c r="C953" s="1"/>
      <c r="D953" s="1"/>
      <c r="E953" s="1"/>
      <c r="F953" s="1"/>
      <c r="G953" s="1"/>
    </row>
    <row r="954" spans="3:7" ht="15.75" customHeight="1" x14ac:dyDescent="0.25">
      <c r="C954" s="1"/>
      <c r="D954" s="1"/>
      <c r="E954" s="1"/>
      <c r="F954" s="1"/>
      <c r="G954" s="1"/>
    </row>
    <row r="955" spans="3:7" ht="15.75" customHeight="1" x14ac:dyDescent="0.25">
      <c r="C955" s="1"/>
      <c r="D955" s="1"/>
      <c r="E955" s="1"/>
      <c r="F955" s="1"/>
      <c r="G955" s="1"/>
    </row>
    <row r="956" spans="3:7" ht="15.75" customHeight="1" x14ac:dyDescent="0.25">
      <c r="C956" s="1"/>
      <c r="D956" s="1"/>
      <c r="E956" s="1"/>
      <c r="F956" s="1"/>
      <c r="G956" s="1"/>
    </row>
    <row r="957" spans="3:7" ht="15.75" customHeight="1" x14ac:dyDescent="0.25">
      <c r="C957" s="1"/>
      <c r="D957" s="1"/>
      <c r="E957" s="1"/>
      <c r="F957" s="1"/>
      <c r="G957" s="1"/>
    </row>
    <row r="958" spans="3:7" ht="15.75" customHeight="1" x14ac:dyDescent="0.25">
      <c r="C958" s="1"/>
      <c r="D958" s="1"/>
      <c r="E958" s="1"/>
      <c r="F958" s="1"/>
      <c r="G958" s="1"/>
    </row>
    <row r="959" spans="3:7" ht="15.75" customHeight="1" x14ac:dyDescent="0.25">
      <c r="C959" s="1"/>
      <c r="D959" s="1"/>
      <c r="E959" s="1"/>
      <c r="F959" s="1"/>
      <c r="G959" s="1"/>
    </row>
    <row r="960" spans="3:7" ht="15.75" customHeight="1" x14ac:dyDescent="0.25">
      <c r="C960" s="1"/>
      <c r="D960" s="1"/>
      <c r="E960" s="1"/>
      <c r="F960" s="1"/>
      <c r="G960" s="1"/>
    </row>
    <row r="961" spans="3:7" ht="15.75" customHeight="1" x14ac:dyDescent="0.25">
      <c r="C961" s="1"/>
      <c r="D961" s="1"/>
      <c r="E961" s="1"/>
      <c r="F961" s="1"/>
      <c r="G961" s="1"/>
    </row>
    <row r="962" spans="3:7" ht="15.75" customHeight="1" x14ac:dyDescent="0.25">
      <c r="C962" s="1"/>
      <c r="D962" s="1"/>
      <c r="E962" s="1"/>
      <c r="F962" s="1"/>
      <c r="G962" s="1"/>
    </row>
    <row r="963" spans="3:7" ht="15.75" customHeight="1" x14ac:dyDescent="0.25">
      <c r="C963" s="1"/>
      <c r="D963" s="1"/>
      <c r="E963" s="1"/>
      <c r="F963" s="1"/>
      <c r="G963" s="1"/>
    </row>
    <row r="964" spans="3:7" ht="15.75" customHeight="1" x14ac:dyDescent="0.25">
      <c r="C964" s="1"/>
      <c r="D964" s="1"/>
      <c r="E964" s="1"/>
      <c r="F964" s="1"/>
      <c r="G964" s="1"/>
    </row>
    <row r="965" spans="3:7" ht="15.75" customHeight="1" x14ac:dyDescent="0.25">
      <c r="C965" s="1"/>
      <c r="D965" s="1"/>
      <c r="E965" s="1"/>
      <c r="F965" s="1"/>
      <c r="G965" s="1"/>
    </row>
    <row r="966" spans="3:7" ht="15.75" customHeight="1" x14ac:dyDescent="0.25">
      <c r="C966" s="1"/>
      <c r="D966" s="1"/>
      <c r="E966" s="1"/>
      <c r="F966" s="1"/>
      <c r="G966" s="1"/>
    </row>
    <row r="967" spans="3:7" ht="15.75" customHeight="1" x14ac:dyDescent="0.25">
      <c r="C967" s="1"/>
      <c r="D967" s="1"/>
      <c r="E967" s="1"/>
      <c r="F967" s="1"/>
      <c r="G967" s="1"/>
    </row>
    <row r="968" spans="3:7" ht="15.75" customHeight="1" x14ac:dyDescent="0.25">
      <c r="C968" s="1"/>
      <c r="D968" s="1"/>
      <c r="E968" s="1"/>
      <c r="F968" s="1"/>
      <c r="G968" s="1"/>
    </row>
    <row r="969" spans="3:7" ht="15.75" customHeight="1" x14ac:dyDescent="0.25">
      <c r="C969" s="1"/>
      <c r="D969" s="1"/>
      <c r="E969" s="1"/>
      <c r="F969" s="1"/>
      <c r="G969" s="1"/>
    </row>
    <row r="970" spans="3:7" ht="15.75" customHeight="1" x14ac:dyDescent="0.25">
      <c r="C970" s="1"/>
      <c r="D970" s="1"/>
      <c r="E970" s="1"/>
      <c r="F970" s="1"/>
      <c r="G970" s="1"/>
    </row>
    <row r="971" spans="3:7" ht="15.75" customHeight="1" x14ac:dyDescent="0.25">
      <c r="C971" s="1"/>
      <c r="D971" s="1"/>
      <c r="E971" s="1"/>
      <c r="F971" s="1"/>
      <c r="G971" s="1"/>
    </row>
    <row r="972" spans="3:7" ht="15.75" customHeight="1" x14ac:dyDescent="0.25">
      <c r="C972" s="1"/>
      <c r="D972" s="1"/>
      <c r="E972" s="1"/>
      <c r="F972" s="1"/>
      <c r="G972" s="1"/>
    </row>
    <row r="973" spans="3:7" ht="15.75" customHeight="1" x14ac:dyDescent="0.25">
      <c r="C973" s="1"/>
      <c r="D973" s="1"/>
      <c r="E973" s="1"/>
      <c r="F973" s="1"/>
      <c r="G973" s="1"/>
    </row>
    <row r="974" spans="3:7" ht="15.75" customHeight="1" x14ac:dyDescent="0.25">
      <c r="C974" s="1"/>
      <c r="D974" s="1"/>
      <c r="E974" s="1"/>
      <c r="F974" s="1"/>
      <c r="G974" s="1"/>
    </row>
    <row r="975" spans="3:7" ht="15.75" customHeight="1" x14ac:dyDescent="0.25">
      <c r="C975" s="1"/>
      <c r="D975" s="1"/>
      <c r="E975" s="1"/>
      <c r="F975" s="1"/>
      <c r="G975" s="1"/>
    </row>
    <row r="976" spans="3:7" ht="15.75" customHeight="1" x14ac:dyDescent="0.25">
      <c r="C976" s="1"/>
      <c r="D976" s="1"/>
      <c r="E976" s="1"/>
      <c r="F976" s="1"/>
      <c r="G976" s="1"/>
    </row>
    <row r="977" spans="3:7" ht="15.75" customHeight="1" x14ac:dyDescent="0.25">
      <c r="C977" s="1"/>
      <c r="D977" s="1"/>
      <c r="E977" s="1"/>
      <c r="F977" s="1"/>
      <c r="G977" s="1"/>
    </row>
    <row r="978" spans="3:7" ht="15.75" customHeight="1" x14ac:dyDescent="0.25">
      <c r="C978" s="1"/>
      <c r="D978" s="1"/>
      <c r="E978" s="1"/>
      <c r="F978" s="1"/>
      <c r="G978" s="1"/>
    </row>
    <row r="979" spans="3:7" ht="15.75" customHeight="1" x14ac:dyDescent="0.25">
      <c r="C979" s="1"/>
      <c r="D979" s="1"/>
      <c r="E979" s="1"/>
      <c r="F979" s="1"/>
      <c r="G979" s="1"/>
    </row>
    <row r="980" spans="3:7" ht="15.75" customHeight="1" x14ac:dyDescent="0.25">
      <c r="C980" s="1"/>
      <c r="D980" s="1"/>
      <c r="E980" s="1"/>
      <c r="F980" s="1"/>
      <c r="G980" s="1"/>
    </row>
    <row r="981" spans="3:7" ht="15.75" customHeight="1" x14ac:dyDescent="0.25">
      <c r="C981" s="1"/>
      <c r="D981" s="1"/>
      <c r="E981" s="1"/>
      <c r="F981" s="1"/>
      <c r="G981" s="1"/>
    </row>
    <row r="982" spans="3:7" ht="15.75" customHeight="1" x14ac:dyDescent="0.25">
      <c r="C982" s="1"/>
      <c r="D982" s="1"/>
      <c r="E982" s="1"/>
      <c r="F982" s="1"/>
      <c r="G982" s="1"/>
    </row>
    <row r="983" spans="3:7" ht="15.75" customHeight="1" x14ac:dyDescent="0.25">
      <c r="C983" s="1"/>
      <c r="D983" s="1"/>
      <c r="E983" s="1"/>
      <c r="F983" s="1"/>
      <c r="G983" s="1"/>
    </row>
    <row r="984" spans="3:7" ht="15.75" customHeight="1" x14ac:dyDescent="0.25">
      <c r="C984" s="1"/>
      <c r="D984" s="1"/>
      <c r="E984" s="1"/>
      <c r="F984" s="1"/>
      <c r="G984" s="1"/>
    </row>
    <row r="985" spans="3:7" ht="15.75" customHeight="1" x14ac:dyDescent="0.25">
      <c r="C985" s="1"/>
      <c r="D985" s="1"/>
      <c r="E985" s="1"/>
      <c r="F985" s="1"/>
      <c r="G985" s="1"/>
    </row>
    <row r="986" spans="3:7" ht="15.75" customHeight="1" x14ac:dyDescent="0.25">
      <c r="C986" s="1"/>
      <c r="D986" s="1"/>
      <c r="E986" s="1"/>
      <c r="F986" s="1"/>
      <c r="G986" s="1"/>
    </row>
    <row r="987" spans="3:7" ht="15.75" customHeight="1" x14ac:dyDescent="0.25">
      <c r="C987" s="1"/>
      <c r="D987" s="1"/>
      <c r="E987" s="1"/>
      <c r="F987" s="1"/>
      <c r="G987" s="1"/>
    </row>
    <row r="988" spans="3:7" ht="15.75" customHeight="1" x14ac:dyDescent="0.25">
      <c r="C988" s="1"/>
      <c r="D988" s="1"/>
      <c r="E988" s="1"/>
      <c r="F988" s="1"/>
      <c r="G988" s="1"/>
    </row>
    <row r="989" spans="3:7" ht="15.75" customHeight="1" x14ac:dyDescent="0.25">
      <c r="C989" s="1"/>
      <c r="D989" s="1"/>
      <c r="E989" s="1"/>
      <c r="F989" s="1"/>
      <c r="G989" s="1"/>
    </row>
    <row r="990" spans="3:7" ht="15.75" customHeight="1" x14ac:dyDescent="0.25">
      <c r="C990" s="1"/>
      <c r="D990" s="1"/>
      <c r="E990" s="1"/>
      <c r="F990" s="1"/>
      <c r="G990" s="1"/>
    </row>
    <row r="991" spans="3:7" ht="15.75" customHeight="1" x14ac:dyDescent="0.25">
      <c r="C991" s="1"/>
      <c r="D991" s="1"/>
      <c r="E991" s="1"/>
      <c r="F991" s="1"/>
      <c r="G991" s="1"/>
    </row>
    <row r="992" spans="3:7" ht="15.75" customHeight="1" x14ac:dyDescent="0.25">
      <c r="C992" s="1"/>
      <c r="D992" s="1"/>
      <c r="E992" s="1"/>
      <c r="F992" s="1"/>
      <c r="G992" s="1"/>
    </row>
    <row r="993" spans="3:7" ht="15.75" customHeight="1" x14ac:dyDescent="0.25">
      <c r="C993" s="1"/>
      <c r="D993" s="1"/>
      <c r="E993" s="1"/>
      <c r="F993" s="1"/>
      <c r="G993" s="1"/>
    </row>
    <row r="994" spans="3:7" ht="15.75" customHeight="1" x14ac:dyDescent="0.25">
      <c r="C994" s="1"/>
      <c r="D994" s="1"/>
      <c r="E994" s="1"/>
      <c r="F994" s="1"/>
      <c r="G994" s="1"/>
    </row>
    <row r="995" spans="3:7" ht="15.75" customHeight="1" x14ac:dyDescent="0.25">
      <c r="C995" s="1"/>
      <c r="D995" s="1"/>
      <c r="E995" s="1"/>
      <c r="F995" s="1"/>
      <c r="G995" s="1"/>
    </row>
    <row r="996" spans="3:7" ht="15.75" customHeight="1" x14ac:dyDescent="0.25">
      <c r="C996" s="1"/>
      <c r="D996" s="1"/>
      <c r="E996" s="1"/>
      <c r="F996" s="1"/>
      <c r="G996" s="1"/>
    </row>
    <row r="997" spans="3:7" ht="15.75" customHeight="1" x14ac:dyDescent="0.25">
      <c r="C997" s="1"/>
      <c r="D997" s="1"/>
      <c r="E997" s="1"/>
      <c r="F997" s="1"/>
      <c r="G997" s="1"/>
    </row>
    <row r="998" spans="3:7" ht="15.75" customHeight="1" x14ac:dyDescent="0.25">
      <c r="C998" s="1"/>
      <c r="D998" s="1"/>
      <c r="E998" s="1"/>
      <c r="F998" s="1"/>
      <c r="G998" s="1"/>
    </row>
    <row r="999" spans="3:7" ht="15.75" customHeight="1" x14ac:dyDescent="0.25">
      <c r="C999" s="1"/>
      <c r="D999" s="1"/>
      <c r="E999" s="1"/>
      <c r="F999" s="1"/>
      <c r="G999" s="1"/>
    </row>
    <row r="1000" spans="3:7" ht="15.75" customHeight="1" x14ac:dyDescent="0.25">
      <c r="C1000" s="1"/>
      <c r="D1000" s="1"/>
      <c r="E1000" s="1"/>
      <c r="F1000" s="1"/>
      <c r="G1000" s="1"/>
    </row>
  </sheetData>
  <mergeCells count="66">
    <mergeCell ref="N9:O9"/>
    <mergeCell ref="L9:M9"/>
    <mergeCell ref="H9:I9"/>
    <mergeCell ref="L12:M12"/>
    <mergeCell ref="H12:I12"/>
    <mergeCell ref="H10:I10"/>
    <mergeCell ref="L10:M10"/>
    <mergeCell ref="N10:O10"/>
    <mergeCell ref="N12:O12"/>
    <mergeCell ref="H11:I11"/>
    <mergeCell ref="L11:M11"/>
    <mergeCell ref="N11:O11"/>
    <mergeCell ref="H4:I4"/>
    <mergeCell ref="H5:I5"/>
    <mergeCell ref="H6:I6"/>
    <mergeCell ref="H7:I7"/>
    <mergeCell ref="H8:I8"/>
    <mergeCell ref="L4:M4"/>
    <mergeCell ref="L5:M5"/>
    <mergeCell ref="L6:M6"/>
    <mergeCell ref="L7:M7"/>
    <mergeCell ref="L8:M8"/>
    <mergeCell ref="H1:L2"/>
    <mergeCell ref="B2:B3"/>
    <mergeCell ref="C2:G2"/>
    <mergeCell ref="H3:I3"/>
    <mergeCell ref="L3:M3"/>
    <mergeCell ref="N8:O8"/>
    <mergeCell ref="N3:O3"/>
    <mergeCell ref="N4:O4"/>
    <mergeCell ref="N5:O5"/>
    <mergeCell ref="N6:O6"/>
    <mergeCell ref="N7:O7"/>
    <mergeCell ref="H15:L16"/>
    <mergeCell ref="B16:B17"/>
    <mergeCell ref="C16:G16"/>
    <mergeCell ref="H17:I17"/>
    <mergeCell ref="L17:M17"/>
    <mergeCell ref="N17:O17"/>
    <mergeCell ref="H18:I18"/>
    <mergeCell ref="L18:M18"/>
    <mergeCell ref="N18:O18"/>
    <mergeCell ref="H19:I19"/>
    <mergeCell ref="L19:M19"/>
    <mergeCell ref="N19:O19"/>
    <mergeCell ref="H20:I20"/>
    <mergeCell ref="L20:M20"/>
    <mergeCell ref="N20:O20"/>
    <mergeCell ref="H21:I21"/>
    <mergeCell ref="L21:M21"/>
    <mergeCell ref="N21:O21"/>
    <mergeCell ref="H22:I22"/>
    <mergeCell ref="L22:M22"/>
    <mergeCell ref="N22:O22"/>
    <mergeCell ref="H23:I23"/>
    <mergeCell ref="L23:M23"/>
    <mergeCell ref="N23:O23"/>
    <mergeCell ref="H26:I26"/>
    <mergeCell ref="L26:M26"/>
    <mergeCell ref="N26:O26"/>
    <mergeCell ref="H24:I24"/>
    <mergeCell ref="L24:M24"/>
    <mergeCell ref="N24:O24"/>
    <mergeCell ref="H25:I25"/>
    <mergeCell ref="L25:M25"/>
    <mergeCell ref="N25:O25"/>
  </mergeCells>
  <phoneticPr fontId="39" type="noConversion"/>
  <conditionalFormatting sqref="N4:O11">
    <cfRule type="containsText" dxfId="7" priority="5" operator="containsText" text=" unpaid">
      <formula>NOT(ISERROR(SEARCH(" unpaid",N4)))</formula>
    </cfRule>
    <cfRule type="containsText" dxfId="6" priority="6" operator="containsText" text=" paid">
      <formula>NOT(ISERROR(SEARCH(" paid",N4)))</formula>
    </cfRule>
  </conditionalFormatting>
  <conditionalFormatting sqref="N18:O25">
    <cfRule type="containsText" dxfId="5" priority="1" operator="containsText" text=" unpaid">
      <formula>NOT(ISERROR(SEARCH(" unpaid",N18)))</formula>
    </cfRule>
    <cfRule type="containsText" dxfId="4" priority="2" operator="containsText" text=" paid">
      <formula>NOT(ISERROR(SEARCH(" paid",N18)))</formula>
    </cfRule>
  </conditionalFormatting>
  <pageMargins left="0.56999999999999995" right="0.7" top="0.52" bottom="0.48" header="0" footer="0"/>
  <pageSetup paperSize="9"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BB1000"/>
  <sheetViews>
    <sheetView showGridLines="0" zoomScale="115" zoomScaleNormal="115" workbookViewId="0">
      <selection sqref="A1:XFD1048576"/>
    </sheetView>
  </sheetViews>
  <sheetFormatPr defaultColWidth="14.42578125" defaultRowHeight="15" customHeight="1" x14ac:dyDescent="0.25"/>
  <cols>
    <col min="1" max="1" width="5" customWidth="1"/>
    <col min="2" max="2" width="20.28515625" customWidth="1"/>
    <col min="3" max="33" width="5.7109375" customWidth="1"/>
    <col min="34" max="34" width="16.7109375" customWidth="1"/>
    <col min="37" max="38" width="15.85546875" customWidth="1"/>
    <col min="40" max="40" width="15.5703125" customWidth="1"/>
  </cols>
  <sheetData>
    <row r="1" spans="1:41" ht="15.75" x14ac:dyDescent="0.25"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221">
        <v>46054</v>
      </c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2"/>
      <c r="AI1" s="62"/>
    </row>
    <row r="2" spans="1:41" ht="15.75" x14ac:dyDescent="0.25">
      <c r="B2" s="62"/>
      <c r="C2" s="223" t="s">
        <v>10</v>
      </c>
      <c r="D2" s="224"/>
      <c r="E2" s="224"/>
      <c r="F2" s="224"/>
      <c r="G2" s="224"/>
      <c r="H2" s="224"/>
      <c r="I2" s="224"/>
      <c r="J2" s="225"/>
      <c r="K2" s="63"/>
      <c r="L2" s="63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2"/>
      <c r="AI2" s="62"/>
    </row>
    <row r="3" spans="1:41" ht="15.75" x14ac:dyDescent="0.25">
      <c r="B3" s="226" t="s">
        <v>0</v>
      </c>
      <c r="C3" s="228" t="s">
        <v>88</v>
      </c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5"/>
      <c r="AI3" s="62"/>
    </row>
    <row r="4" spans="1:41" ht="15.75" x14ac:dyDescent="0.25">
      <c r="B4" s="227"/>
      <c r="C4" s="64">
        <v>1</v>
      </c>
      <c r="D4" s="64">
        <v>2</v>
      </c>
      <c r="E4" s="64">
        <v>3</v>
      </c>
      <c r="F4" s="64">
        <v>4</v>
      </c>
      <c r="G4" s="64">
        <v>5</v>
      </c>
      <c r="H4" s="64">
        <v>6</v>
      </c>
      <c r="I4" s="64">
        <v>7</v>
      </c>
      <c r="J4" s="64">
        <v>8</v>
      </c>
      <c r="K4" s="64">
        <v>9</v>
      </c>
      <c r="L4" s="64">
        <v>10</v>
      </c>
      <c r="M4" s="64">
        <v>11</v>
      </c>
      <c r="N4" s="64">
        <v>12</v>
      </c>
      <c r="O4" s="64">
        <v>13</v>
      </c>
      <c r="P4" s="64">
        <v>14</v>
      </c>
      <c r="Q4" s="64">
        <v>15</v>
      </c>
      <c r="R4" s="64">
        <v>16</v>
      </c>
      <c r="S4" s="64">
        <v>17</v>
      </c>
      <c r="T4" s="64">
        <v>18</v>
      </c>
      <c r="U4" s="64">
        <v>19</v>
      </c>
      <c r="V4" s="64">
        <v>20</v>
      </c>
      <c r="W4" s="64">
        <v>21</v>
      </c>
      <c r="X4" s="64">
        <v>22</v>
      </c>
      <c r="Y4" s="64">
        <v>23</v>
      </c>
      <c r="Z4" s="64">
        <v>24</v>
      </c>
      <c r="AA4" s="64">
        <v>25</v>
      </c>
      <c r="AB4" s="64">
        <v>26</v>
      </c>
      <c r="AC4" s="64">
        <v>27</v>
      </c>
      <c r="AD4" s="64">
        <v>28</v>
      </c>
      <c r="AE4" s="64">
        <v>29</v>
      </c>
      <c r="AF4" s="64">
        <v>30</v>
      </c>
      <c r="AG4" s="64">
        <v>31</v>
      </c>
      <c r="AH4" s="65" t="s">
        <v>9</v>
      </c>
      <c r="AI4" s="62"/>
    </row>
    <row r="5" spans="1:41" s="115" customFormat="1" ht="15.75" x14ac:dyDescent="0.25">
      <c r="A5"/>
      <c r="B5" s="120" t="str">
        <f>'Final Report'!B4</f>
        <v>ALIF</v>
      </c>
      <c r="C5" s="121">
        <v>0</v>
      </c>
      <c r="D5" s="121">
        <v>0</v>
      </c>
      <c r="E5" s="121">
        <v>0</v>
      </c>
      <c r="F5" s="121">
        <v>0</v>
      </c>
      <c r="G5" s="121">
        <v>0</v>
      </c>
      <c r="H5" s="121">
        <v>0</v>
      </c>
      <c r="I5" s="121">
        <v>0</v>
      </c>
      <c r="J5" s="121">
        <v>0</v>
      </c>
      <c r="K5" s="121">
        <v>0</v>
      </c>
      <c r="L5" s="121">
        <v>0</v>
      </c>
      <c r="M5" s="121">
        <v>0</v>
      </c>
      <c r="N5" s="121">
        <v>0</v>
      </c>
      <c r="O5" s="121">
        <v>0</v>
      </c>
      <c r="P5" s="121">
        <v>0</v>
      </c>
      <c r="Q5" s="121">
        <v>0</v>
      </c>
      <c r="R5" s="121">
        <v>0</v>
      </c>
      <c r="S5" s="121">
        <v>0</v>
      </c>
      <c r="T5" s="121">
        <v>0</v>
      </c>
      <c r="U5" s="121">
        <v>0</v>
      </c>
      <c r="V5" s="121">
        <v>0</v>
      </c>
      <c r="W5" s="121">
        <v>0</v>
      </c>
      <c r="X5" s="121">
        <v>0</v>
      </c>
      <c r="Y5" s="121">
        <v>0</v>
      </c>
      <c r="Z5" s="121">
        <v>0</v>
      </c>
      <c r="AA5" s="121">
        <v>0</v>
      </c>
      <c r="AB5" s="121">
        <v>0</v>
      </c>
      <c r="AC5" s="121">
        <v>0</v>
      </c>
      <c r="AD5" s="121">
        <v>0</v>
      </c>
      <c r="AE5" s="121">
        <v>0</v>
      </c>
      <c r="AF5" s="121">
        <v>0</v>
      </c>
      <c r="AG5" s="121">
        <v>0</v>
      </c>
      <c r="AH5" s="121">
        <f>SUM(C5:AG5)</f>
        <v>0</v>
      </c>
      <c r="AI5" s="218"/>
      <c r="AJ5" s="219"/>
      <c r="AK5" s="219"/>
      <c r="AL5" s="219"/>
      <c r="AM5" s="219"/>
      <c r="AN5" s="219"/>
      <c r="AO5" s="219"/>
    </row>
    <row r="6" spans="1:41" s="116" customFormat="1" ht="15.75" x14ac:dyDescent="0.25">
      <c r="A6"/>
      <c r="B6" s="122" t="str">
        <f>'Final Report'!B5</f>
        <v>JUBAYER</v>
      </c>
      <c r="C6" s="123">
        <v>0</v>
      </c>
      <c r="D6" s="123">
        <v>0</v>
      </c>
      <c r="E6" s="123">
        <v>0</v>
      </c>
      <c r="F6" s="123">
        <v>0</v>
      </c>
      <c r="G6" s="123">
        <v>0</v>
      </c>
      <c r="H6" s="123">
        <v>0</v>
      </c>
      <c r="I6" s="123">
        <v>0</v>
      </c>
      <c r="J6" s="123">
        <v>0</v>
      </c>
      <c r="K6" s="123">
        <v>0</v>
      </c>
      <c r="L6" s="123">
        <v>0</v>
      </c>
      <c r="M6" s="123">
        <v>0</v>
      </c>
      <c r="N6" s="123">
        <v>0</v>
      </c>
      <c r="O6" s="123">
        <v>0</v>
      </c>
      <c r="P6" s="123">
        <v>0</v>
      </c>
      <c r="Q6" s="123">
        <v>0</v>
      </c>
      <c r="R6" s="123">
        <v>0</v>
      </c>
      <c r="S6" s="123">
        <v>0</v>
      </c>
      <c r="T6" s="123">
        <v>0</v>
      </c>
      <c r="U6" s="123">
        <v>0</v>
      </c>
      <c r="V6" s="123">
        <v>0</v>
      </c>
      <c r="W6" s="123">
        <v>0</v>
      </c>
      <c r="X6" s="123">
        <v>0</v>
      </c>
      <c r="Y6" s="123">
        <v>0</v>
      </c>
      <c r="Z6" s="123">
        <v>0</v>
      </c>
      <c r="AA6" s="123">
        <v>0</v>
      </c>
      <c r="AB6" s="123">
        <v>0</v>
      </c>
      <c r="AC6" s="123">
        <v>0</v>
      </c>
      <c r="AD6" s="123">
        <v>0</v>
      </c>
      <c r="AE6" s="123">
        <v>0</v>
      </c>
      <c r="AF6" s="123">
        <v>0</v>
      </c>
      <c r="AG6" s="123">
        <v>0</v>
      </c>
      <c r="AH6" s="123">
        <f t="shared" ref="AH6:AH13" si="0">SUM(C6:AG6)</f>
        <v>0</v>
      </c>
      <c r="AI6" s="124"/>
    </row>
    <row r="7" spans="1:41" s="117" customFormat="1" ht="15" customHeight="1" x14ac:dyDescent="0.25">
      <c r="A7"/>
      <c r="B7" s="125" t="s">
        <v>68</v>
      </c>
      <c r="C7" s="126">
        <v>0</v>
      </c>
      <c r="D7" s="126">
        <v>0</v>
      </c>
      <c r="E7" s="126">
        <v>0</v>
      </c>
      <c r="F7" s="126">
        <v>0</v>
      </c>
      <c r="G7" s="126">
        <v>0</v>
      </c>
      <c r="H7" s="126">
        <v>0</v>
      </c>
      <c r="I7" s="126">
        <v>0</v>
      </c>
      <c r="J7" s="126">
        <v>0</v>
      </c>
      <c r="K7" s="126">
        <v>0</v>
      </c>
      <c r="L7" s="126">
        <v>0</v>
      </c>
      <c r="M7" s="126">
        <v>0</v>
      </c>
      <c r="N7" s="126">
        <v>0</v>
      </c>
      <c r="O7" s="126">
        <v>0</v>
      </c>
      <c r="P7" s="126">
        <v>0</v>
      </c>
      <c r="Q7" s="126">
        <v>0</v>
      </c>
      <c r="R7" s="126">
        <v>0</v>
      </c>
      <c r="S7" s="126">
        <v>0</v>
      </c>
      <c r="T7" s="126">
        <v>0</v>
      </c>
      <c r="U7" s="126">
        <v>0</v>
      </c>
      <c r="V7" s="126">
        <v>0</v>
      </c>
      <c r="W7" s="126">
        <v>0</v>
      </c>
      <c r="X7" s="126">
        <v>0</v>
      </c>
      <c r="Y7" s="126">
        <v>0</v>
      </c>
      <c r="Z7" s="126">
        <v>0</v>
      </c>
      <c r="AA7" s="126">
        <v>0</v>
      </c>
      <c r="AB7" s="126">
        <v>0</v>
      </c>
      <c r="AC7" s="126">
        <v>0</v>
      </c>
      <c r="AD7" s="126">
        <v>0</v>
      </c>
      <c r="AE7" s="126">
        <v>0</v>
      </c>
      <c r="AF7" s="126">
        <v>0</v>
      </c>
      <c r="AG7" s="126">
        <v>0</v>
      </c>
      <c r="AH7" s="126">
        <f>SUM(C7:AG7)</f>
        <v>0</v>
      </c>
      <c r="AI7" s="127"/>
      <c r="AK7" s="141"/>
    </row>
    <row r="8" spans="1:41" s="118" customFormat="1" ht="18.75" hidden="1" customHeight="1" x14ac:dyDescent="0.25">
      <c r="A8"/>
      <c r="B8" s="128" t="s">
        <v>47</v>
      </c>
      <c r="C8" s="129">
        <v>0</v>
      </c>
      <c r="D8" s="129">
        <v>0</v>
      </c>
      <c r="E8" s="129">
        <v>0</v>
      </c>
      <c r="F8" s="129">
        <v>0</v>
      </c>
      <c r="G8" s="129">
        <v>0</v>
      </c>
      <c r="H8" s="129">
        <v>0</v>
      </c>
      <c r="I8" s="129">
        <v>0</v>
      </c>
      <c r="J8" s="129">
        <v>0</v>
      </c>
      <c r="K8" s="129">
        <v>0</v>
      </c>
      <c r="L8" s="129">
        <v>0</v>
      </c>
      <c r="M8" s="129">
        <v>0</v>
      </c>
      <c r="N8" s="129">
        <v>0</v>
      </c>
      <c r="O8" s="129">
        <v>0</v>
      </c>
      <c r="P8" s="129">
        <v>0</v>
      </c>
      <c r="Q8" s="129">
        <v>0</v>
      </c>
      <c r="R8" s="129">
        <v>0</v>
      </c>
      <c r="S8" s="129">
        <v>0</v>
      </c>
      <c r="T8" s="129">
        <v>0</v>
      </c>
      <c r="U8" s="129">
        <v>0</v>
      </c>
      <c r="V8" s="129">
        <v>0</v>
      </c>
      <c r="W8" s="129">
        <v>0</v>
      </c>
      <c r="X8" s="129">
        <v>0</v>
      </c>
      <c r="Y8" s="129">
        <v>0</v>
      </c>
      <c r="Z8" s="129">
        <v>0</v>
      </c>
      <c r="AA8" s="129">
        <v>0</v>
      </c>
      <c r="AB8" s="129">
        <v>0</v>
      </c>
      <c r="AC8" s="129">
        <v>0</v>
      </c>
      <c r="AD8" s="129">
        <v>0</v>
      </c>
      <c r="AE8" s="129">
        <v>0</v>
      </c>
      <c r="AF8" s="129">
        <v>0</v>
      </c>
      <c r="AG8" s="129">
        <v>0</v>
      </c>
      <c r="AH8" s="129">
        <f>SUM(C8:AG8)</f>
        <v>0</v>
      </c>
      <c r="AI8" s="130"/>
    </row>
    <row r="9" spans="1:41" s="119" customFormat="1" ht="15.75" x14ac:dyDescent="0.25">
      <c r="A9"/>
      <c r="B9" s="131" t="s">
        <v>69</v>
      </c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</v>
      </c>
      <c r="N9" s="132">
        <v>0</v>
      </c>
      <c r="O9" s="132">
        <v>0</v>
      </c>
      <c r="P9" s="132">
        <v>0</v>
      </c>
      <c r="Q9" s="132">
        <v>0</v>
      </c>
      <c r="R9" s="132">
        <v>0</v>
      </c>
      <c r="S9" s="132">
        <v>0</v>
      </c>
      <c r="T9" s="132">
        <v>0</v>
      </c>
      <c r="U9" s="132">
        <v>0</v>
      </c>
      <c r="V9" s="132">
        <v>0</v>
      </c>
      <c r="W9" s="132">
        <v>0</v>
      </c>
      <c r="X9" s="132">
        <v>0</v>
      </c>
      <c r="Y9" s="132">
        <v>0</v>
      </c>
      <c r="Z9" s="132">
        <v>0</v>
      </c>
      <c r="AA9" s="132">
        <v>0</v>
      </c>
      <c r="AB9" s="132">
        <v>0</v>
      </c>
      <c r="AC9" s="132">
        <v>0</v>
      </c>
      <c r="AD9" s="132">
        <v>0</v>
      </c>
      <c r="AE9" s="132">
        <v>0</v>
      </c>
      <c r="AF9" s="132">
        <v>0</v>
      </c>
      <c r="AG9" s="132">
        <v>0</v>
      </c>
      <c r="AH9" s="132">
        <f>SUM(C9:AG9)</f>
        <v>0</v>
      </c>
      <c r="AI9" s="133"/>
    </row>
    <row r="10" spans="1:41" s="118" customFormat="1" x14ac:dyDescent="0.25">
      <c r="A10"/>
      <c r="B10" s="164" t="s">
        <v>70</v>
      </c>
      <c r="C10" s="149">
        <v>0</v>
      </c>
      <c r="D10" s="149">
        <v>0</v>
      </c>
      <c r="E10" s="149">
        <v>0</v>
      </c>
      <c r="F10" s="149">
        <v>0</v>
      </c>
      <c r="G10" s="149">
        <v>0</v>
      </c>
      <c r="H10" s="149">
        <v>0</v>
      </c>
      <c r="I10" s="149">
        <v>0</v>
      </c>
      <c r="J10" s="149">
        <v>0</v>
      </c>
      <c r="K10" s="149">
        <v>0</v>
      </c>
      <c r="L10" s="149">
        <v>0</v>
      </c>
      <c r="M10" s="149">
        <v>0</v>
      </c>
      <c r="N10" s="149">
        <v>0</v>
      </c>
      <c r="O10" s="149">
        <v>0</v>
      </c>
      <c r="P10" s="149">
        <v>0</v>
      </c>
      <c r="Q10" s="149">
        <v>0</v>
      </c>
      <c r="R10" s="149">
        <v>0</v>
      </c>
      <c r="S10" s="149">
        <v>0</v>
      </c>
      <c r="T10" s="149">
        <v>0</v>
      </c>
      <c r="U10" s="149">
        <v>0</v>
      </c>
      <c r="V10" s="149">
        <v>0</v>
      </c>
      <c r="W10" s="149">
        <v>0</v>
      </c>
      <c r="X10" s="149">
        <v>0</v>
      </c>
      <c r="Y10" s="149">
        <v>0</v>
      </c>
      <c r="Z10" s="149">
        <v>0</v>
      </c>
      <c r="AA10" s="149">
        <v>0</v>
      </c>
      <c r="AB10" s="149">
        <v>0</v>
      </c>
      <c r="AC10" s="149">
        <v>0</v>
      </c>
      <c r="AD10" s="149">
        <v>0</v>
      </c>
      <c r="AE10" s="149">
        <v>0</v>
      </c>
      <c r="AF10" s="149">
        <v>0</v>
      </c>
      <c r="AG10" s="149">
        <v>0</v>
      </c>
      <c r="AH10" s="149">
        <f>SUM(C10:AG10)</f>
        <v>0</v>
      </c>
    </row>
    <row r="11" spans="1:41" ht="17.25" customHeight="1" x14ac:dyDescent="0.25">
      <c r="B11" s="134" t="str">
        <f>'Final Report'!B10</f>
        <v>RAFID</v>
      </c>
      <c r="C11" s="135">
        <v>0</v>
      </c>
      <c r="D11" s="135">
        <v>0</v>
      </c>
      <c r="E11" s="135">
        <v>0</v>
      </c>
      <c r="F11" s="135">
        <v>0</v>
      </c>
      <c r="G11" s="135">
        <v>0</v>
      </c>
      <c r="H11" s="135">
        <v>0</v>
      </c>
      <c r="I11" s="135">
        <v>0</v>
      </c>
      <c r="J11" s="135">
        <v>0</v>
      </c>
      <c r="K11" s="135">
        <v>0</v>
      </c>
      <c r="L11" s="135">
        <v>0</v>
      </c>
      <c r="M11" s="135">
        <v>0</v>
      </c>
      <c r="N11" s="135">
        <v>0</v>
      </c>
      <c r="O11" s="135">
        <v>0</v>
      </c>
      <c r="P11" s="135">
        <v>0</v>
      </c>
      <c r="Q11" s="135">
        <v>0</v>
      </c>
      <c r="R11" s="135">
        <v>0</v>
      </c>
      <c r="S11" s="135">
        <v>0</v>
      </c>
      <c r="T11" s="135">
        <v>0</v>
      </c>
      <c r="U11" s="135">
        <v>0</v>
      </c>
      <c r="V11" s="135">
        <v>0</v>
      </c>
      <c r="W11" s="135">
        <v>0</v>
      </c>
      <c r="X11" s="135">
        <v>0</v>
      </c>
      <c r="Y11" s="135">
        <v>0</v>
      </c>
      <c r="Z11" s="135">
        <v>0</v>
      </c>
      <c r="AA11" s="135">
        <v>0</v>
      </c>
      <c r="AB11" s="135">
        <v>0</v>
      </c>
      <c r="AC11" s="135">
        <v>0</v>
      </c>
      <c r="AD11" s="135">
        <v>0</v>
      </c>
      <c r="AE11" s="135">
        <v>0</v>
      </c>
      <c r="AF11" s="135">
        <v>0</v>
      </c>
      <c r="AG11" s="135">
        <v>0</v>
      </c>
      <c r="AH11" s="135">
        <f t="shared" ref="AH11" si="1">SUM(C11:AG11)</f>
        <v>0</v>
      </c>
      <c r="AI11" s="62"/>
    </row>
    <row r="12" spans="1:41" s="148" customFormat="1" x14ac:dyDescent="0.25">
      <c r="A12" s="172"/>
      <c r="B12" s="144" t="s">
        <v>75</v>
      </c>
      <c r="C12" s="145">
        <v>0</v>
      </c>
      <c r="D12" s="145">
        <v>0</v>
      </c>
      <c r="E12" s="145">
        <v>0</v>
      </c>
      <c r="F12" s="145">
        <v>0</v>
      </c>
      <c r="G12" s="145">
        <v>0</v>
      </c>
      <c r="H12" s="145">
        <v>0</v>
      </c>
      <c r="I12" s="145">
        <v>0</v>
      </c>
      <c r="J12" s="145">
        <v>0</v>
      </c>
      <c r="K12" s="145">
        <v>0</v>
      </c>
      <c r="L12" s="145">
        <v>0</v>
      </c>
      <c r="M12" s="145">
        <v>0</v>
      </c>
      <c r="N12" s="145">
        <v>0</v>
      </c>
      <c r="O12" s="145">
        <v>0</v>
      </c>
      <c r="P12" s="145">
        <v>0</v>
      </c>
      <c r="Q12" s="145">
        <v>0</v>
      </c>
      <c r="R12" s="145">
        <v>0</v>
      </c>
      <c r="S12" s="145">
        <v>0</v>
      </c>
      <c r="T12" s="145">
        <v>0</v>
      </c>
      <c r="U12" s="145">
        <v>0</v>
      </c>
      <c r="V12" s="145">
        <v>0</v>
      </c>
      <c r="W12" s="145">
        <v>0</v>
      </c>
      <c r="X12" s="145">
        <v>0</v>
      </c>
      <c r="Y12" s="145">
        <v>0</v>
      </c>
      <c r="Z12" s="145">
        <v>0</v>
      </c>
      <c r="AA12" s="145">
        <v>0</v>
      </c>
      <c r="AB12" s="145">
        <v>0</v>
      </c>
      <c r="AC12" s="145">
        <v>0</v>
      </c>
      <c r="AD12" s="145">
        <v>0</v>
      </c>
      <c r="AE12" s="145">
        <v>0</v>
      </c>
      <c r="AF12" s="145">
        <v>0</v>
      </c>
      <c r="AG12" s="145">
        <v>0</v>
      </c>
      <c r="AH12" s="145">
        <f>SUM(C12:AG12)</f>
        <v>0</v>
      </c>
    </row>
    <row r="13" spans="1:41" ht="15.75" x14ac:dyDescent="0.25">
      <c r="B13" s="134"/>
      <c r="C13" s="135">
        <v>0</v>
      </c>
      <c r="D13" s="135">
        <v>0</v>
      </c>
      <c r="E13" s="135">
        <v>0</v>
      </c>
      <c r="F13" s="135">
        <v>0</v>
      </c>
      <c r="G13" s="135">
        <v>0</v>
      </c>
      <c r="H13" s="135">
        <v>0</v>
      </c>
      <c r="I13" s="135">
        <v>0</v>
      </c>
      <c r="J13" s="135">
        <v>0</v>
      </c>
      <c r="K13" s="135">
        <v>0</v>
      </c>
      <c r="L13" s="135">
        <v>0</v>
      </c>
      <c r="M13" s="135">
        <v>0</v>
      </c>
      <c r="N13" s="135">
        <v>0</v>
      </c>
      <c r="O13" s="135">
        <v>0</v>
      </c>
      <c r="P13" s="135">
        <v>0</v>
      </c>
      <c r="Q13" s="135">
        <v>0</v>
      </c>
      <c r="R13" s="135">
        <v>0</v>
      </c>
      <c r="S13" s="135">
        <v>0</v>
      </c>
      <c r="T13" s="135">
        <v>0</v>
      </c>
      <c r="U13" s="135">
        <v>0</v>
      </c>
      <c r="V13" s="135">
        <v>0</v>
      </c>
      <c r="W13" s="135">
        <v>0</v>
      </c>
      <c r="X13" s="135">
        <v>0</v>
      </c>
      <c r="Y13" s="135">
        <v>0</v>
      </c>
      <c r="Z13" s="135">
        <v>0</v>
      </c>
      <c r="AA13" s="135">
        <v>0</v>
      </c>
      <c r="AB13" s="135">
        <v>0</v>
      </c>
      <c r="AC13" s="135">
        <v>0</v>
      </c>
      <c r="AD13" s="135">
        <v>0</v>
      </c>
      <c r="AE13" s="135">
        <v>0</v>
      </c>
      <c r="AF13" s="135">
        <v>0</v>
      </c>
      <c r="AG13" s="135">
        <v>0</v>
      </c>
      <c r="AH13" s="135">
        <f t="shared" si="0"/>
        <v>0</v>
      </c>
      <c r="AI13" s="62"/>
    </row>
    <row r="14" spans="1:41" ht="15.75" x14ac:dyDescent="0.25">
      <c r="B14" s="69" t="s">
        <v>9</v>
      </c>
      <c r="C14" s="68">
        <f t="shared" ref="C14:AH14" si="2">SUM(C5:C13)</f>
        <v>0</v>
      </c>
      <c r="D14" s="68">
        <f t="shared" si="2"/>
        <v>0</v>
      </c>
      <c r="E14" s="68">
        <f t="shared" si="2"/>
        <v>0</v>
      </c>
      <c r="F14" s="68">
        <f t="shared" si="2"/>
        <v>0</v>
      </c>
      <c r="G14" s="68">
        <f t="shared" si="2"/>
        <v>0</v>
      </c>
      <c r="H14" s="68">
        <f t="shared" si="2"/>
        <v>0</v>
      </c>
      <c r="I14" s="68">
        <f t="shared" si="2"/>
        <v>0</v>
      </c>
      <c r="J14" s="68">
        <f t="shared" si="2"/>
        <v>0</v>
      </c>
      <c r="K14" s="68">
        <f t="shared" si="2"/>
        <v>0</v>
      </c>
      <c r="L14" s="68">
        <f t="shared" si="2"/>
        <v>0</v>
      </c>
      <c r="M14" s="68">
        <f t="shared" si="2"/>
        <v>0</v>
      </c>
      <c r="N14" s="68">
        <f t="shared" si="2"/>
        <v>0</v>
      </c>
      <c r="O14" s="68">
        <f t="shared" si="2"/>
        <v>0</v>
      </c>
      <c r="P14" s="68">
        <f t="shared" si="2"/>
        <v>0</v>
      </c>
      <c r="Q14" s="68">
        <f t="shared" si="2"/>
        <v>0</v>
      </c>
      <c r="R14" s="68">
        <f t="shared" si="2"/>
        <v>0</v>
      </c>
      <c r="S14" s="68">
        <f t="shared" si="2"/>
        <v>0</v>
      </c>
      <c r="T14" s="68">
        <f t="shared" si="2"/>
        <v>0</v>
      </c>
      <c r="U14" s="68">
        <f t="shared" ref="U14:Z14" si="3">SUM(U5:U13)</f>
        <v>0</v>
      </c>
      <c r="V14" s="68">
        <f t="shared" si="3"/>
        <v>0</v>
      </c>
      <c r="W14" s="68">
        <f t="shared" si="3"/>
        <v>0</v>
      </c>
      <c r="X14" s="68">
        <f t="shared" si="3"/>
        <v>0</v>
      </c>
      <c r="Y14" s="68">
        <f t="shared" si="3"/>
        <v>0</v>
      </c>
      <c r="Z14" s="68">
        <f t="shared" si="3"/>
        <v>0</v>
      </c>
      <c r="AA14" s="68">
        <f t="shared" si="2"/>
        <v>0</v>
      </c>
      <c r="AB14" s="68">
        <f t="shared" si="2"/>
        <v>0</v>
      </c>
      <c r="AC14" s="68">
        <f t="shared" si="2"/>
        <v>0</v>
      </c>
      <c r="AD14" s="68">
        <f t="shared" si="2"/>
        <v>0</v>
      </c>
      <c r="AE14" s="68">
        <f t="shared" si="2"/>
        <v>0</v>
      </c>
      <c r="AF14" s="68">
        <f t="shared" si="2"/>
        <v>0</v>
      </c>
      <c r="AG14" s="68">
        <f t="shared" si="2"/>
        <v>0</v>
      </c>
      <c r="AH14" s="68">
        <f t="shared" si="2"/>
        <v>0</v>
      </c>
      <c r="AI14" s="62"/>
    </row>
    <row r="15" spans="1:41" ht="15.75" x14ac:dyDescent="0.25"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2"/>
      <c r="AI15" s="62"/>
    </row>
    <row r="16" spans="1:41" ht="15.75" x14ac:dyDescent="0.25">
      <c r="B16" s="62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2"/>
      <c r="AI16" s="62"/>
    </row>
    <row r="19" spans="1:54" x14ac:dyDescent="0.25">
      <c r="H19" s="220"/>
      <c r="I19" s="220"/>
      <c r="J19" s="220"/>
      <c r="K19" s="220"/>
    </row>
    <row r="20" spans="1:54" x14ac:dyDescent="0.25">
      <c r="B20" s="220"/>
      <c r="C20" s="220" t="s">
        <v>56</v>
      </c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</row>
    <row r="21" spans="1:54" ht="15.75" customHeight="1" x14ac:dyDescent="0.25">
      <c r="B21" s="220"/>
    </row>
    <row r="22" spans="1:54" s="114" customFormat="1" ht="15.7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ht="15.75" customHeight="1" x14ac:dyDescent="0.25">
      <c r="AI23" s="220"/>
      <c r="AJ23" s="220"/>
      <c r="AK23" s="220"/>
      <c r="AL23" s="220"/>
      <c r="AM23" s="220"/>
      <c r="AN23" s="220"/>
    </row>
    <row r="24" spans="1:54" ht="15.75" customHeight="1" x14ac:dyDescent="0.25">
      <c r="AI24" s="220"/>
    </row>
    <row r="25" spans="1:54" s="114" customFormat="1" ht="15.7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15.75" customHeight="1" x14ac:dyDescent="0.25"/>
    <row r="27" spans="1:54" ht="15.75" customHeight="1" x14ac:dyDescent="0.25"/>
    <row r="28" spans="1:54" ht="15.75" customHeight="1" x14ac:dyDescent="0.25"/>
    <row r="29" spans="1:54" s="114" customFormat="1" ht="15.75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15.75" customHeight="1" x14ac:dyDescent="0.25"/>
    <row r="31" spans="1:54" ht="15.75" customHeight="1" x14ac:dyDescent="0.25"/>
    <row r="32" spans="1:54" ht="15.75" customHeight="1" x14ac:dyDescent="0.25"/>
    <row r="33" spans="2:41" ht="15.75" customHeight="1" x14ac:dyDescent="0.25"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</row>
    <row r="34" spans="2:41" ht="15.75" customHeight="1" x14ac:dyDescent="0.25">
      <c r="B34" s="220"/>
    </row>
    <row r="35" spans="2:41" ht="15.75" customHeight="1" x14ac:dyDescent="0.25"/>
    <row r="36" spans="2:41" ht="15.75" customHeight="1" x14ac:dyDescent="0.25"/>
    <row r="37" spans="2:41" ht="15.75" customHeight="1" x14ac:dyDescent="0.25">
      <c r="AI37" s="220"/>
      <c r="AJ37" s="220"/>
      <c r="AK37" s="220"/>
      <c r="AL37" s="220"/>
      <c r="AM37" s="220"/>
      <c r="AN37" s="220"/>
      <c r="AO37" s="220"/>
    </row>
    <row r="38" spans="2:41" ht="15.75" customHeight="1" x14ac:dyDescent="0.25">
      <c r="AI38" s="220"/>
      <c r="AJ38" s="220"/>
      <c r="AK38" s="220"/>
      <c r="AL38" s="220"/>
      <c r="AM38" s="220"/>
      <c r="AN38" s="220"/>
      <c r="AO38" s="220"/>
    </row>
    <row r="39" spans="2:41" ht="15.75" customHeight="1" x14ac:dyDescent="0.25">
      <c r="AI39" s="220"/>
      <c r="AJ39" s="220"/>
      <c r="AK39" s="220"/>
      <c r="AL39" s="220"/>
      <c r="AM39" s="220"/>
      <c r="AN39" s="220"/>
      <c r="AO39" s="220"/>
    </row>
    <row r="40" spans="2:41" ht="15.75" customHeight="1" x14ac:dyDescent="0.25">
      <c r="AI40" s="220"/>
      <c r="AJ40" s="220"/>
      <c r="AK40" s="220"/>
      <c r="AL40" s="220"/>
      <c r="AM40" s="220"/>
      <c r="AN40" s="220"/>
      <c r="AO40" s="220"/>
    </row>
    <row r="41" spans="2:41" ht="15.75" customHeight="1" x14ac:dyDescent="0.25">
      <c r="AI41" s="220"/>
      <c r="AJ41" s="220"/>
      <c r="AK41" s="220"/>
      <c r="AL41" s="220"/>
      <c r="AM41" s="220"/>
      <c r="AN41" s="220"/>
      <c r="AO41" s="220"/>
    </row>
    <row r="42" spans="2:41" ht="15.75" customHeight="1" x14ac:dyDescent="0.25"/>
    <row r="43" spans="2:41" ht="15.75" customHeight="1" x14ac:dyDescent="0.25"/>
    <row r="44" spans="2:41" ht="15.75" customHeight="1" x14ac:dyDescent="0.25"/>
    <row r="45" spans="2:41" ht="15.75" customHeight="1" x14ac:dyDescent="0.25"/>
    <row r="46" spans="2:41" ht="15.75" customHeight="1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2:41" ht="15.75" customHeight="1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2:41" ht="15.75" customHeight="1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3:33" ht="15.75" customHeight="1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3:33" ht="15.75" customHeight="1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3:33" ht="15.75" customHeight="1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3:33" ht="15.75" customHeight="1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3:33" ht="15.75" customHeight="1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3:33" ht="15.75" customHeight="1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3:33" ht="15.75" customHeight="1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3:33" ht="15.75" customHeight="1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3:33" ht="15.75" customHeight="1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3:33" ht="15.75" customHeight="1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3:33" ht="15.75" customHeight="1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3:33" ht="15.75" customHeight="1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3:33" ht="15.75" customHeight="1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3:33" ht="15.75" customHeight="1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3:33" ht="15.75" customHeight="1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3:33" ht="15.75" customHeight="1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3:33" ht="15.75" customHeight="1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3:33" ht="15.75" customHeight="1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3:33" ht="15.75" customHeight="1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3:33" ht="15.75" customHeight="1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3:33" ht="15.75" customHeight="1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3:33" ht="15.75" customHeight="1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3:33" ht="15.75" customHeight="1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3:33" ht="15.75" customHeight="1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3:33" ht="15.75" customHeight="1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3:33" ht="15.75" customHeight="1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3:33" ht="15.75" customHeight="1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3:33" ht="15.75" customHeight="1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3:33" ht="15.75" customHeight="1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3:33" ht="15.75" customHeight="1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3:33" ht="15.75" customHeight="1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3:33" ht="15.75" customHeight="1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3:33" ht="15.75" customHeight="1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3:33" ht="15.75" customHeight="1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3:33" ht="15.75" customHeight="1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3:33" ht="15.75" customHeight="1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3:33" ht="15.75" customHeight="1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3:33" ht="15.75" customHeight="1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3:33" ht="15.75" customHeight="1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3:33" ht="15.75" customHeight="1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3:33" ht="15.75" customHeight="1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3:33" ht="15.75" customHeight="1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3:33" ht="15.75" customHeight="1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3:33" ht="15.75" customHeight="1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3:33" ht="15.75" customHeight="1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3:33" ht="15.75" customHeight="1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3:33" ht="15.75" customHeight="1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3:33" ht="15.75" customHeight="1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3:33" ht="15.75" customHeight="1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3:33" ht="15.75" customHeight="1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3:33" ht="15.75" customHeight="1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3:33" ht="15.75" customHeight="1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3:33" ht="15.75" customHeight="1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3:33" ht="15.75" customHeight="1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3:33" ht="15.75" customHeight="1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3:33" ht="15.75" customHeight="1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3:33" ht="15.75" customHeight="1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3:33" ht="15.75" customHeight="1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3:33" ht="15.75" customHeight="1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3:33" ht="15.75" customHeight="1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3:33" ht="15.75" customHeight="1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3:33" ht="15.75" customHeight="1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3:33" ht="15.75" customHeight="1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3:33" ht="15.75" customHeight="1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3:33" ht="15.75" customHeight="1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3:33" ht="15.75" customHeight="1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3:33" ht="15.75" customHeight="1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3:33" ht="15.75" customHeight="1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3:33" ht="15.75" customHeight="1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3:33" ht="15.75" customHeight="1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3:33" ht="15.75" customHeight="1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3:33" ht="15.75" customHeight="1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3:33" ht="15.75" customHeight="1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3:33" ht="15.75" customHeight="1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3:33" ht="15.75" customHeight="1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3:33" ht="15.75" customHeight="1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3:33" ht="15.75" customHeight="1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3:33" ht="15.75" customHeight="1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3:33" ht="15.75" customHeight="1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3:33" ht="15.75" customHeight="1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3:33" ht="15.75" customHeight="1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3:33" ht="15.75" customHeight="1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3:33" ht="15.75" customHeight="1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3:33" ht="15.75" customHeight="1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3:33" ht="15.75" customHeight="1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3:33" ht="15.75" customHeight="1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3:33" ht="15.75" customHeight="1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3:33" ht="15.75" customHeight="1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3:33" ht="15.75" customHeight="1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3:33" ht="15.75" customHeight="1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3:33" ht="15.75" customHeight="1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3:33" ht="15.75" customHeight="1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3:33" ht="15.75" customHeight="1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3:33" ht="15.75" customHeight="1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3:33" ht="15.75" customHeight="1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3:33" ht="15.75" customHeight="1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3:33" ht="15.75" customHeight="1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3:33" ht="15.75" customHeight="1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3:33" ht="15.75" customHeight="1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3:33" ht="15.75" customHeight="1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3:33" ht="15.75" customHeight="1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3:33" ht="15.75" customHeight="1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3:33" ht="15.75" customHeight="1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3:33" ht="15.75" customHeight="1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3:33" ht="15.75" customHeight="1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3:33" ht="15.75" customHeight="1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3:33" ht="15.75" customHeight="1" x14ac:dyDescent="0.2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3:33" ht="15.75" customHeight="1" x14ac:dyDescent="0.2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3:33" ht="15.75" customHeight="1" x14ac:dyDescent="0.2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3:33" ht="15.75" customHeight="1" x14ac:dyDescent="0.2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3:33" ht="15.75" customHeight="1" x14ac:dyDescent="0.2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3:33" ht="15.75" customHeight="1" x14ac:dyDescent="0.2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3:33" ht="15.75" customHeight="1" x14ac:dyDescent="0.2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3:33" ht="15.75" customHeight="1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3:33" ht="15.75" customHeight="1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3:33" ht="15.75" customHeight="1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3:33" ht="15.75" customHeight="1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3:33" ht="15.75" customHeight="1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3:33" ht="15.75" customHeight="1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3:33" ht="15.75" customHeight="1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3:33" ht="15.75" customHeight="1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3:33" ht="15.75" customHeight="1" x14ac:dyDescent="0.2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3:33" ht="15.75" customHeight="1" x14ac:dyDescent="0.2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3:33" ht="15.75" customHeight="1" x14ac:dyDescent="0.2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3:33" ht="15.75" customHeight="1" x14ac:dyDescent="0.2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3:33" ht="15.75" customHeight="1" x14ac:dyDescent="0.2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3:33" ht="15.75" customHeight="1" x14ac:dyDescent="0.2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3:33" ht="15.75" customHeight="1" x14ac:dyDescent="0.2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3:33" ht="15.75" customHeight="1" x14ac:dyDescent="0.2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3:33" ht="15.75" customHeight="1" x14ac:dyDescent="0.2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3:33" ht="15.75" customHeight="1" x14ac:dyDescent="0.2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3:33" ht="15.75" customHeight="1" x14ac:dyDescent="0.2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3:33" ht="15.75" customHeight="1" x14ac:dyDescent="0.2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3:33" ht="15.75" customHeight="1" x14ac:dyDescent="0.2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3:33" ht="15.75" customHeight="1" x14ac:dyDescent="0.2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3:33" ht="15.75" customHeight="1" x14ac:dyDescent="0.2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3:33" ht="15.75" customHeight="1" x14ac:dyDescent="0.2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3:33" ht="15.75" customHeight="1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3:33" ht="15.75" customHeight="1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3:33" ht="15.75" customHeight="1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3:33" ht="15.75" customHeight="1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3:33" ht="15.75" customHeight="1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3:33" ht="15.75" customHeight="1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3:33" ht="15.75" customHeight="1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3:33" ht="15.75" customHeight="1" x14ac:dyDescent="0.2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3:33" ht="15.75" customHeight="1" x14ac:dyDescent="0.2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3:33" ht="15.75" customHeight="1" x14ac:dyDescent="0.2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3:33" ht="15.75" customHeight="1" x14ac:dyDescent="0.2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3:33" ht="15.75" customHeight="1" x14ac:dyDescent="0.2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3:33" ht="15.75" customHeight="1" x14ac:dyDescent="0.2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3:33" ht="15.75" customHeight="1" x14ac:dyDescent="0.2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3:33" ht="15.75" customHeight="1" x14ac:dyDescent="0.2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3:33" ht="15.75" customHeight="1" x14ac:dyDescent="0.2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3:33" ht="15.75" customHeight="1" x14ac:dyDescent="0.2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3:33" ht="15.75" customHeight="1" x14ac:dyDescent="0.2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3:33" ht="15.75" customHeight="1" x14ac:dyDescent="0.2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3:33" ht="15.75" customHeight="1" x14ac:dyDescent="0.2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3:33" ht="15.75" customHeight="1" x14ac:dyDescent="0.2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3:33" ht="15.75" customHeight="1" x14ac:dyDescent="0.2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3:33" ht="15.75" customHeight="1" x14ac:dyDescent="0.2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3:33" ht="15.75" customHeight="1" x14ac:dyDescent="0.2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3:33" ht="15.75" customHeight="1" x14ac:dyDescent="0.2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3:33" ht="15.75" customHeight="1" x14ac:dyDescent="0.2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3:33" ht="15.75" customHeight="1" x14ac:dyDescent="0.2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3:33" ht="15.75" customHeight="1" x14ac:dyDescent="0.2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3:33" ht="15.75" customHeight="1" x14ac:dyDescent="0.2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3:33" ht="15.75" customHeight="1" x14ac:dyDescent="0.2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3:33" ht="15.75" customHeight="1" x14ac:dyDescent="0.2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3:33" ht="15.75" customHeight="1" x14ac:dyDescent="0.2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3:33" ht="15.75" customHeight="1" x14ac:dyDescent="0.2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3:33" ht="15.75" customHeight="1" x14ac:dyDescent="0.25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3:33" ht="15.75" customHeight="1" x14ac:dyDescent="0.25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3:33" ht="15.75" customHeight="1" x14ac:dyDescent="0.25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3:33" ht="15.75" customHeight="1" x14ac:dyDescent="0.25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3:33" ht="15.75" customHeight="1" x14ac:dyDescent="0.25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3:33" ht="15.75" customHeight="1" x14ac:dyDescent="0.2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3:33" ht="15.75" customHeight="1" x14ac:dyDescent="0.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3:33" ht="15.75" customHeight="1" x14ac:dyDescent="0.2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3:33" ht="15.75" customHeight="1" x14ac:dyDescent="0.2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3:33" ht="15.75" customHeight="1" x14ac:dyDescent="0.2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3:33" ht="15.75" customHeight="1" x14ac:dyDescent="0.25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3:33" ht="15.75" customHeight="1" x14ac:dyDescent="0.25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3:33" ht="15.75" customHeight="1" x14ac:dyDescent="0.25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3:33" ht="15.75" customHeight="1" x14ac:dyDescent="0.25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3:33" ht="15.75" customHeight="1" x14ac:dyDescent="0.25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3:33" ht="15.75" customHeight="1" x14ac:dyDescent="0.25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3:33" ht="15.75" customHeight="1" x14ac:dyDescent="0.2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3:33" ht="15.75" customHeight="1" x14ac:dyDescent="0.2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3:33" ht="15.75" customHeight="1" x14ac:dyDescent="0.25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3:33" ht="15.75" customHeight="1" x14ac:dyDescent="0.25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3:33" ht="15.75" customHeight="1" x14ac:dyDescent="0.2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3:33" ht="15.75" customHeight="1" x14ac:dyDescent="0.25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3:33" ht="15.75" customHeight="1" x14ac:dyDescent="0.25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3:33" ht="15.75" customHeight="1" x14ac:dyDescent="0.25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3:33" ht="15.75" customHeight="1" x14ac:dyDescent="0.25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3:33" ht="15.75" customHeight="1" x14ac:dyDescent="0.25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3:33" ht="15.75" customHeight="1" x14ac:dyDescent="0.2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3:33" ht="15.75" customHeight="1" x14ac:dyDescent="0.25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3:33" ht="15.75" customHeight="1" x14ac:dyDescent="0.25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3:33" ht="15.75" customHeight="1" x14ac:dyDescent="0.25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3:33" ht="15.75" customHeight="1" x14ac:dyDescent="0.25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3:33" ht="15.75" customHeight="1" x14ac:dyDescent="0.25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3:33" ht="15.75" customHeight="1" x14ac:dyDescent="0.25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3:33" ht="15.75" customHeight="1" x14ac:dyDescent="0.25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3:33" ht="15.75" customHeight="1" x14ac:dyDescent="0.25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3:33" ht="15.75" customHeight="1" x14ac:dyDescent="0.25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3:33" ht="15.75" customHeight="1" x14ac:dyDescent="0.2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3:33" ht="15.75" customHeight="1" x14ac:dyDescent="0.25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3:33" ht="15.75" customHeight="1" x14ac:dyDescent="0.25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3:33" ht="15.75" customHeight="1" x14ac:dyDescent="0.2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3:33" ht="15.75" customHeight="1" x14ac:dyDescent="0.25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3:33" ht="15.75" customHeight="1" x14ac:dyDescent="0.25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3:33" ht="15.75" customHeight="1" x14ac:dyDescent="0.25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3:33" ht="15.75" customHeight="1" x14ac:dyDescent="0.25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3:33" ht="15.75" customHeight="1" x14ac:dyDescent="0.25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3:33" ht="15.75" customHeight="1" x14ac:dyDescent="0.25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3:33" ht="15.75" customHeight="1" x14ac:dyDescent="0.2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3:33" ht="15.75" customHeight="1" x14ac:dyDescent="0.25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3:33" ht="15.75" customHeight="1" x14ac:dyDescent="0.25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3:33" ht="15.75" customHeight="1" x14ac:dyDescent="0.25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3:33" ht="15.75" customHeight="1" x14ac:dyDescent="0.25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3:33" ht="15.75" customHeight="1" x14ac:dyDescent="0.25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3:33" ht="15.75" customHeight="1" x14ac:dyDescent="0.25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3:33" ht="15.75" customHeight="1" x14ac:dyDescent="0.25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3:33" ht="15.75" customHeight="1" x14ac:dyDescent="0.25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3:33" ht="15.75" customHeight="1" x14ac:dyDescent="0.2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3:33" ht="15.75" customHeight="1" x14ac:dyDescent="0.2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3:33" ht="15.75" customHeight="1" x14ac:dyDescent="0.2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3:33" ht="15.75" customHeight="1" x14ac:dyDescent="0.2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3:33" ht="15.75" customHeight="1" x14ac:dyDescent="0.2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3:33" ht="15.75" customHeight="1" x14ac:dyDescent="0.2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3:33" ht="15.75" customHeight="1" x14ac:dyDescent="0.2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3:33" ht="15.75" customHeight="1" x14ac:dyDescent="0.2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3:33" ht="15.75" customHeight="1" x14ac:dyDescent="0.2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3:33" ht="15.75" customHeight="1" x14ac:dyDescent="0.2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3:33" ht="15.75" customHeight="1" x14ac:dyDescent="0.2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3:33" ht="15.75" customHeight="1" x14ac:dyDescent="0.2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3:33" ht="15.75" customHeight="1" x14ac:dyDescent="0.2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3:33" ht="15.75" customHeight="1" x14ac:dyDescent="0.2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3:33" ht="15.75" customHeight="1" x14ac:dyDescent="0.2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3:33" ht="15.75" customHeight="1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3:33" ht="15.75" customHeight="1" x14ac:dyDescent="0.2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3:33" ht="15.75" customHeight="1" x14ac:dyDescent="0.2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3:33" ht="15.75" customHeight="1" x14ac:dyDescent="0.25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3:33" ht="15.75" customHeight="1" x14ac:dyDescent="0.25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3:33" ht="15.75" customHeight="1" x14ac:dyDescent="0.25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3:33" ht="15.75" customHeight="1" x14ac:dyDescent="0.2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3:33" ht="15.75" customHeight="1" x14ac:dyDescent="0.25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3:33" ht="15.75" customHeight="1" x14ac:dyDescent="0.25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3:33" ht="15.75" customHeight="1" x14ac:dyDescent="0.2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3:33" ht="15.75" customHeight="1" x14ac:dyDescent="0.2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3:33" ht="15.75" customHeight="1" x14ac:dyDescent="0.2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3:33" ht="15.75" customHeight="1" x14ac:dyDescent="0.25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3:33" ht="15.75" customHeight="1" x14ac:dyDescent="0.25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3:33" ht="15.75" customHeight="1" x14ac:dyDescent="0.25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3:33" ht="15.75" customHeight="1" x14ac:dyDescent="0.25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3:33" ht="15.75" customHeight="1" x14ac:dyDescent="0.2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3:33" ht="15.75" customHeight="1" x14ac:dyDescent="0.25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3:33" ht="15.75" customHeight="1" x14ac:dyDescent="0.25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3:33" ht="15.75" customHeight="1" x14ac:dyDescent="0.25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3:33" ht="15.75" customHeight="1" x14ac:dyDescent="0.25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3:33" ht="15.75" customHeight="1" x14ac:dyDescent="0.25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3:33" ht="15.75" customHeight="1" x14ac:dyDescent="0.25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3:33" ht="15.75" customHeight="1" x14ac:dyDescent="0.25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3:33" ht="15.75" customHeight="1" x14ac:dyDescent="0.25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3:33" ht="15.75" customHeight="1" x14ac:dyDescent="0.25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3:33" ht="15.75" customHeight="1" x14ac:dyDescent="0.2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3:33" ht="15.75" customHeight="1" x14ac:dyDescent="0.25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3:33" ht="15.75" customHeight="1" x14ac:dyDescent="0.25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3:33" ht="15.75" customHeight="1" x14ac:dyDescent="0.25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3:33" ht="15.75" customHeight="1" x14ac:dyDescent="0.25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3:33" ht="15.75" customHeight="1" x14ac:dyDescent="0.25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3:33" ht="15.75" customHeight="1" x14ac:dyDescent="0.25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3:33" ht="15.75" customHeight="1" x14ac:dyDescent="0.25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3:33" ht="15.75" customHeight="1" x14ac:dyDescent="0.25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3:33" ht="15.75" customHeight="1" x14ac:dyDescent="0.25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3:33" ht="15.75" customHeight="1" x14ac:dyDescent="0.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3:33" ht="15.75" customHeight="1" x14ac:dyDescent="0.25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3:33" ht="15.75" customHeight="1" x14ac:dyDescent="0.25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3:33" ht="15.75" customHeight="1" x14ac:dyDescent="0.25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3:33" ht="15.75" customHeight="1" x14ac:dyDescent="0.25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3:33" ht="15.75" customHeight="1" x14ac:dyDescent="0.25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3:33" ht="15.75" customHeight="1" x14ac:dyDescent="0.25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3:33" ht="15.75" customHeight="1" x14ac:dyDescent="0.25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3:33" ht="15.75" customHeight="1" x14ac:dyDescent="0.25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3:33" ht="15.75" customHeight="1" x14ac:dyDescent="0.25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3:33" ht="15.75" customHeight="1" x14ac:dyDescent="0.2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3:33" ht="15.75" customHeight="1" x14ac:dyDescent="0.25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3:33" ht="15.75" customHeight="1" x14ac:dyDescent="0.25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3:33" ht="15.75" customHeight="1" x14ac:dyDescent="0.25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3:33" ht="15.75" customHeight="1" x14ac:dyDescent="0.25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3:33" ht="15.75" customHeight="1" x14ac:dyDescent="0.25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3:33" ht="15.75" customHeight="1" x14ac:dyDescent="0.25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3:33" ht="15.75" customHeight="1" x14ac:dyDescent="0.25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3:33" ht="15.75" customHeight="1" x14ac:dyDescent="0.25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3:33" ht="15.75" customHeight="1" x14ac:dyDescent="0.25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3:33" ht="15.75" customHeight="1" x14ac:dyDescent="0.2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3:33" ht="15.75" customHeight="1" x14ac:dyDescent="0.25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3:33" ht="15.75" customHeight="1" x14ac:dyDescent="0.25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3:33" ht="15.75" customHeight="1" x14ac:dyDescent="0.25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3:33" ht="15.75" customHeight="1" x14ac:dyDescent="0.25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3:33" ht="15.75" customHeight="1" x14ac:dyDescent="0.25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3:33" ht="15.75" customHeight="1" x14ac:dyDescent="0.25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3:33" ht="15.75" customHeight="1" x14ac:dyDescent="0.25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3:33" ht="15.75" customHeight="1" x14ac:dyDescent="0.25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3:33" ht="15.75" customHeight="1" x14ac:dyDescent="0.25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3:33" ht="15.75" customHeight="1" x14ac:dyDescent="0.2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3:33" ht="15.75" customHeight="1" x14ac:dyDescent="0.25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3:33" ht="15.75" customHeight="1" x14ac:dyDescent="0.25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3:33" ht="15.75" customHeight="1" x14ac:dyDescent="0.25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3:33" ht="15.75" customHeight="1" x14ac:dyDescent="0.25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3:33" ht="15.75" customHeight="1" x14ac:dyDescent="0.25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3:33" ht="15.75" customHeight="1" x14ac:dyDescent="0.25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3:33" ht="15.75" customHeight="1" x14ac:dyDescent="0.25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3:33" ht="15.75" customHeight="1" x14ac:dyDescent="0.25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3:33" ht="15.75" customHeight="1" x14ac:dyDescent="0.25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3:33" ht="15.75" customHeight="1" x14ac:dyDescent="0.2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3:33" ht="15.75" customHeight="1" x14ac:dyDescent="0.25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3:33" ht="15.75" customHeight="1" x14ac:dyDescent="0.25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3:33" ht="15.75" customHeight="1" x14ac:dyDescent="0.25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3:33" ht="15.75" customHeight="1" x14ac:dyDescent="0.25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3:33" ht="15.75" customHeight="1" x14ac:dyDescent="0.25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3:33" ht="15.75" customHeight="1" x14ac:dyDescent="0.25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3:33" ht="15.75" customHeight="1" x14ac:dyDescent="0.25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3:33" ht="15.75" customHeight="1" x14ac:dyDescent="0.25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3:33" ht="15.75" customHeight="1" x14ac:dyDescent="0.25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3:33" ht="15.75" customHeight="1" x14ac:dyDescent="0.2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3:33" ht="15.75" customHeight="1" x14ac:dyDescent="0.25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3:33" ht="15.75" customHeight="1" x14ac:dyDescent="0.25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3:33" ht="15.75" customHeight="1" x14ac:dyDescent="0.25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3:33" ht="15.75" customHeight="1" x14ac:dyDescent="0.25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3:33" ht="15.75" customHeight="1" x14ac:dyDescent="0.25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3:33" ht="15.75" customHeight="1" x14ac:dyDescent="0.25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3:33" ht="15.75" customHeight="1" x14ac:dyDescent="0.25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3:33" ht="15.75" customHeight="1" x14ac:dyDescent="0.25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3:33" ht="15.75" customHeight="1" x14ac:dyDescent="0.25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3:33" ht="15.75" customHeight="1" x14ac:dyDescent="0.2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3:33" ht="15.75" customHeight="1" x14ac:dyDescent="0.25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3:33" ht="15.75" customHeight="1" x14ac:dyDescent="0.25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3:33" ht="15.75" customHeight="1" x14ac:dyDescent="0.25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3:33" ht="15.75" customHeight="1" x14ac:dyDescent="0.25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3:33" ht="15.75" customHeight="1" x14ac:dyDescent="0.25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3:33" ht="15.75" customHeight="1" x14ac:dyDescent="0.25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3:33" ht="15.75" customHeight="1" x14ac:dyDescent="0.25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3:33" ht="15.75" customHeight="1" x14ac:dyDescent="0.25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3:33" ht="15.75" customHeight="1" x14ac:dyDescent="0.25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3:33" ht="15.75" customHeight="1" x14ac:dyDescent="0.2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3:33" ht="15.75" customHeight="1" x14ac:dyDescent="0.25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3:33" ht="15.75" customHeight="1" x14ac:dyDescent="0.25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3:33" ht="15.75" customHeight="1" x14ac:dyDescent="0.25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3:33" ht="15.75" customHeight="1" x14ac:dyDescent="0.25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3:33" ht="15.75" customHeight="1" x14ac:dyDescent="0.25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3:33" ht="15.75" customHeight="1" x14ac:dyDescent="0.25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3:33" ht="15.75" customHeight="1" x14ac:dyDescent="0.25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3:33" ht="15.75" customHeight="1" x14ac:dyDescent="0.25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3:33" ht="15.75" customHeight="1" x14ac:dyDescent="0.25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3:33" ht="15.75" customHeight="1" x14ac:dyDescent="0.2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3:33" ht="15.75" customHeight="1" x14ac:dyDescent="0.25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3:33" ht="15.75" customHeight="1" x14ac:dyDescent="0.25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3:33" ht="15.75" customHeight="1" x14ac:dyDescent="0.25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3:33" ht="15.75" customHeight="1" x14ac:dyDescent="0.25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3:33" ht="15.75" customHeight="1" x14ac:dyDescent="0.25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3:33" ht="15.75" customHeight="1" x14ac:dyDescent="0.25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3:33" ht="15.75" customHeight="1" x14ac:dyDescent="0.25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3:33" ht="15.75" customHeight="1" x14ac:dyDescent="0.25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3:33" ht="15.75" customHeight="1" x14ac:dyDescent="0.25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3:33" ht="15.75" customHeight="1" x14ac:dyDescent="0.2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3:33" ht="15.75" customHeight="1" x14ac:dyDescent="0.25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3:33" ht="15.75" customHeight="1" x14ac:dyDescent="0.25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3:33" ht="15.75" customHeight="1" x14ac:dyDescent="0.25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3:33" ht="15.75" customHeight="1" x14ac:dyDescent="0.25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3:33" ht="15.75" customHeight="1" x14ac:dyDescent="0.25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3:33" ht="15.75" customHeight="1" x14ac:dyDescent="0.25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3:33" ht="15.75" customHeight="1" x14ac:dyDescent="0.25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3:33" ht="15.75" customHeight="1" x14ac:dyDescent="0.25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3:33" ht="15.75" customHeight="1" x14ac:dyDescent="0.25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3:33" ht="15.75" customHeight="1" x14ac:dyDescent="0.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3:33" ht="15.75" customHeight="1" x14ac:dyDescent="0.25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3:33" ht="15.75" customHeight="1" x14ac:dyDescent="0.25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3:33" ht="15.75" customHeight="1" x14ac:dyDescent="0.25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3:33" ht="15.75" customHeight="1" x14ac:dyDescent="0.25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3:33" ht="15.75" customHeight="1" x14ac:dyDescent="0.25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3:33" ht="15.75" customHeight="1" x14ac:dyDescent="0.25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3:33" ht="15.75" customHeight="1" x14ac:dyDescent="0.25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3:33" ht="15.75" customHeight="1" x14ac:dyDescent="0.25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3:33" ht="15.75" customHeight="1" x14ac:dyDescent="0.25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3:33" ht="15.75" customHeight="1" x14ac:dyDescent="0.2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3:33" ht="15.75" customHeight="1" x14ac:dyDescent="0.25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3:33" ht="15.75" customHeight="1" x14ac:dyDescent="0.25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3:33" ht="15.75" customHeight="1" x14ac:dyDescent="0.25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3:33" ht="15.75" customHeight="1" x14ac:dyDescent="0.25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3:33" ht="15.75" customHeight="1" x14ac:dyDescent="0.25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3:33" ht="15.75" customHeight="1" x14ac:dyDescent="0.25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3:33" ht="15.75" customHeight="1" x14ac:dyDescent="0.25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3:33" ht="15.75" customHeight="1" x14ac:dyDescent="0.25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3:33" ht="15.75" customHeight="1" x14ac:dyDescent="0.25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3:33" ht="15.75" customHeight="1" x14ac:dyDescent="0.2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3:33" ht="15.75" customHeight="1" x14ac:dyDescent="0.25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3:33" ht="15.75" customHeight="1" x14ac:dyDescent="0.25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3:33" ht="15.75" customHeight="1" x14ac:dyDescent="0.25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3:33" ht="15.75" customHeight="1" x14ac:dyDescent="0.25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3:33" ht="15.75" customHeight="1" x14ac:dyDescent="0.25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3:33" ht="15.75" customHeight="1" x14ac:dyDescent="0.25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3:33" ht="15.75" customHeight="1" x14ac:dyDescent="0.25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3:33" ht="15.75" customHeight="1" x14ac:dyDescent="0.25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3:33" ht="15.75" customHeight="1" x14ac:dyDescent="0.25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3:33" ht="15.75" customHeight="1" x14ac:dyDescent="0.2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3:33" ht="15.75" customHeight="1" x14ac:dyDescent="0.25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3:33" ht="15.75" customHeight="1" x14ac:dyDescent="0.25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3:33" ht="15.75" customHeight="1" x14ac:dyDescent="0.25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3:33" ht="15.75" customHeight="1" x14ac:dyDescent="0.25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3:33" ht="15.75" customHeight="1" x14ac:dyDescent="0.25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3:33" ht="15.75" customHeight="1" x14ac:dyDescent="0.25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3:33" ht="15.75" customHeight="1" x14ac:dyDescent="0.25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3:33" ht="15.75" customHeight="1" x14ac:dyDescent="0.25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3:33" ht="15.75" customHeight="1" x14ac:dyDescent="0.25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3:33" ht="15.75" customHeight="1" x14ac:dyDescent="0.2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3:33" ht="15.75" customHeight="1" x14ac:dyDescent="0.25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3:33" ht="15.75" customHeight="1" x14ac:dyDescent="0.25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3:33" ht="15.75" customHeight="1" x14ac:dyDescent="0.25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3:33" ht="15.75" customHeight="1" x14ac:dyDescent="0.25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3:33" ht="15.75" customHeight="1" x14ac:dyDescent="0.25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3:33" ht="15.75" customHeight="1" x14ac:dyDescent="0.25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3:33" ht="15.75" customHeight="1" x14ac:dyDescent="0.25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3:33" ht="15.75" customHeight="1" x14ac:dyDescent="0.25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3:33" ht="15.75" customHeight="1" x14ac:dyDescent="0.25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3:33" ht="15.75" customHeight="1" x14ac:dyDescent="0.2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3:33" ht="15.75" customHeight="1" x14ac:dyDescent="0.25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3:33" ht="15.75" customHeight="1" x14ac:dyDescent="0.25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3:33" ht="15.75" customHeight="1" x14ac:dyDescent="0.25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3:33" ht="15.75" customHeight="1" x14ac:dyDescent="0.25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3:33" ht="15.75" customHeight="1" x14ac:dyDescent="0.25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3:33" ht="15.75" customHeight="1" x14ac:dyDescent="0.25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3:33" ht="15.75" customHeight="1" x14ac:dyDescent="0.25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3:33" ht="15.75" customHeight="1" x14ac:dyDescent="0.25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3:33" ht="15.75" customHeight="1" x14ac:dyDescent="0.25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3:33" ht="15.75" customHeight="1" x14ac:dyDescent="0.2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3:33" ht="15.75" customHeight="1" x14ac:dyDescent="0.25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3:33" ht="15.75" customHeight="1" x14ac:dyDescent="0.25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3:33" ht="15.75" customHeight="1" x14ac:dyDescent="0.25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3:33" ht="15.75" customHeight="1" x14ac:dyDescent="0.25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3:33" ht="15.75" customHeight="1" x14ac:dyDescent="0.25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3:33" ht="15.75" customHeight="1" x14ac:dyDescent="0.25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3:33" ht="15.75" customHeight="1" x14ac:dyDescent="0.25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3:33" ht="15.75" customHeight="1" x14ac:dyDescent="0.25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3:33" ht="15.75" customHeight="1" x14ac:dyDescent="0.25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3:33" ht="15.75" customHeight="1" x14ac:dyDescent="0.2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3:33" ht="15.75" customHeight="1" x14ac:dyDescent="0.25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3:33" ht="15.75" customHeight="1" x14ac:dyDescent="0.25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3:33" ht="15.75" customHeight="1" x14ac:dyDescent="0.25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3:33" ht="15.75" customHeight="1" x14ac:dyDescent="0.25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3:33" ht="15.75" customHeight="1" x14ac:dyDescent="0.25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3:33" ht="15.75" customHeight="1" x14ac:dyDescent="0.25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3:33" ht="15.75" customHeight="1" x14ac:dyDescent="0.25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3:33" ht="15.75" customHeight="1" x14ac:dyDescent="0.25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3:33" ht="15.75" customHeight="1" x14ac:dyDescent="0.25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3:33" ht="15.75" customHeight="1" x14ac:dyDescent="0.2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3:33" ht="15.75" customHeight="1" x14ac:dyDescent="0.25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3:33" ht="15.75" customHeight="1" x14ac:dyDescent="0.25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3:33" ht="15.75" customHeight="1" x14ac:dyDescent="0.25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3:33" ht="15.75" customHeight="1" x14ac:dyDescent="0.25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3:33" ht="15.75" customHeight="1" x14ac:dyDescent="0.25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3:33" ht="15.75" customHeight="1" x14ac:dyDescent="0.25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3:33" ht="15.75" customHeight="1" x14ac:dyDescent="0.25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3:33" ht="15.75" customHeight="1" x14ac:dyDescent="0.25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3:33" ht="15.75" customHeight="1" x14ac:dyDescent="0.25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3:33" ht="15.75" customHeight="1" x14ac:dyDescent="0.2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3:33" ht="15.75" customHeight="1" x14ac:dyDescent="0.25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3:33" ht="15.75" customHeight="1" x14ac:dyDescent="0.25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3:33" ht="15.75" customHeight="1" x14ac:dyDescent="0.25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3:33" ht="15.75" customHeight="1" x14ac:dyDescent="0.25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3:33" ht="15.75" customHeight="1" x14ac:dyDescent="0.25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3:33" ht="15.75" customHeight="1" x14ac:dyDescent="0.25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3:33" ht="15.75" customHeight="1" x14ac:dyDescent="0.25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3:33" ht="15.75" customHeight="1" x14ac:dyDescent="0.25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3:33" ht="15.75" customHeight="1" x14ac:dyDescent="0.25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3:33" ht="15.75" customHeight="1" x14ac:dyDescent="0.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3:33" ht="15.75" customHeight="1" x14ac:dyDescent="0.25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3:33" ht="15.75" customHeight="1" x14ac:dyDescent="0.25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3:33" ht="15.75" customHeight="1" x14ac:dyDescent="0.25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3:33" ht="15.75" customHeight="1" x14ac:dyDescent="0.25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3:33" ht="15.75" customHeight="1" x14ac:dyDescent="0.25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3:33" ht="15.75" customHeight="1" x14ac:dyDescent="0.25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3:33" ht="15.75" customHeight="1" x14ac:dyDescent="0.25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3:33" ht="15.75" customHeight="1" x14ac:dyDescent="0.25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3:33" ht="15.75" customHeight="1" x14ac:dyDescent="0.25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3:33" ht="15.75" customHeight="1" x14ac:dyDescent="0.2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3:33" ht="15.75" customHeight="1" x14ac:dyDescent="0.25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3:33" ht="15.75" customHeight="1" x14ac:dyDescent="0.25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3:33" ht="15.75" customHeight="1" x14ac:dyDescent="0.25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3:33" ht="15.75" customHeight="1" x14ac:dyDescent="0.25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3:33" ht="15.75" customHeight="1" x14ac:dyDescent="0.25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3:33" ht="15.75" customHeight="1" x14ac:dyDescent="0.25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3:33" ht="15.75" customHeight="1" x14ac:dyDescent="0.25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3:33" ht="15.75" customHeight="1" x14ac:dyDescent="0.25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3:33" ht="15.75" customHeight="1" x14ac:dyDescent="0.25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3:33" ht="15.75" customHeight="1" x14ac:dyDescent="0.2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3:33" ht="15.75" customHeight="1" x14ac:dyDescent="0.25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3:33" ht="15.75" customHeight="1" x14ac:dyDescent="0.25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3:33" ht="15.75" customHeight="1" x14ac:dyDescent="0.25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3:33" ht="15.75" customHeight="1" x14ac:dyDescent="0.25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3:33" ht="15.75" customHeight="1" x14ac:dyDescent="0.25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3:33" ht="15.75" customHeight="1" x14ac:dyDescent="0.25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3:33" ht="15.75" customHeight="1" x14ac:dyDescent="0.25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3:33" ht="15.75" customHeight="1" x14ac:dyDescent="0.25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3:33" ht="15.75" customHeight="1" x14ac:dyDescent="0.25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3:33" ht="15.75" customHeight="1" x14ac:dyDescent="0.2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3:33" ht="15.75" customHeight="1" x14ac:dyDescent="0.25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3:33" ht="15.75" customHeight="1" x14ac:dyDescent="0.25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3:33" ht="15.75" customHeight="1" x14ac:dyDescent="0.25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3:33" ht="15.75" customHeight="1" x14ac:dyDescent="0.25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3:33" ht="15.75" customHeight="1" x14ac:dyDescent="0.25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3:33" ht="15.75" customHeight="1" x14ac:dyDescent="0.25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3:33" ht="15.75" customHeight="1" x14ac:dyDescent="0.25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3:33" ht="15.75" customHeight="1" x14ac:dyDescent="0.25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3:33" ht="15.75" customHeight="1" x14ac:dyDescent="0.25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3:33" ht="15.75" customHeight="1" x14ac:dyDescent="0.2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3:33" ht="15.75" customHeight="1" x14ac:dyDescent="0.25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3:33" ht="15.75" customHeight="1" x14ac:dyDescent="0.25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3:33" ht="15.75" customHeight="1" x14ac:dyDescent="0.25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3:33" ht="15.75" customHeight="1" x14ac:dyDescent="0.25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3:33" ht="15.75" customHeight="1" x14ac:dyDescent="0.25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3:33" ht="15.75" customHeight="1" x14ac:dyDescent="0.25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3:33" ht="15.75" customHeight="1" x14ac:dyDescent="0.25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3:33" ht="15.75" customHeight="1" x14ac:dyDescent="0.25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3:33" ht="15.75" customHeight="1" x14ac:dyDescent="0.25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3:33" ht="15.75" customHeight="1" x14ac:dyDescent="0.2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3:33" ht="15.75" customHeight="1" x14ac:dyDescent="0.25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3:33" ht="15.75" customHeight="1" x14ac:dyDescent="0.25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3:33" ht="15.75" customHeight="1" x14ac:dyDescent="0.25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3:33" ht="15.75" customHeight="1" x14ac:dyDescent="0.25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3:33" ht="15.75" customHeight="1" x14ac:dyDescent="0.25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3:33" ht="15.75" customHeight="1" x14ac:dyDescent="0.25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3:33" ht="15.75" customHeight="1" x14ac:dyDescent="0.25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3:33" ht="15.75" customHeight="1" x14ac:dyDescent="0.25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3:33" ht="15.75" customHeight="1" x14ac:dyDescent="0.25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3:33" ht="15.75" customHeight="1" x14ac:dyDescent="0.2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3:33" ht="15.75" customHeight="1" x14ac:dyDescent="0.25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3:33" ht="15.75" customHeight="1" x14ac:dyDescent="0.25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3:33" ht="15.75" customHeight="1" x14ac:dyDescent="0.25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3:33" ht="15.75" customHeight="1" x14ac:dyDescent="0.25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3:33" ht="15.75" customHeight="1" x14ac:dyDescent="0.25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3:33" ht="15.75" customHeight="1" x14ac:dyDescent="0.25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3:33" ht="15.75" customHeight="1" x14ac:dyDescent="0.25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3:33" ht="15.75" customHeight="1" x14ac:dyDescent="0.25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3:33" ht="15.75" customHeight="1" x14ac:dyDescent="0.25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3:33" ht="15.75" customHeight="1" x14ac:dyDescent="0.2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3:33" ht="15.75" customHeight="1" x14ac:dyDescent="0.25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3:33" ht="15.75" customHeight="1" x14ac:dyDescent="0.25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3:33" ht="15.75" customHeight="1" x14ac:dyDescent="0.25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3:33" ht="15.75" customHeight="1" x14ac:dyDescent="0.25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3:33" ht="15.75" customHeight="1" x14ac:dyDescent="0.25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3:33" ht="15.75" customHeight="1" x14ac:dyDescent="0.25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3:33" ht="15.75" customHeight="1" x14ac:dyDescent="0.25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3:33" ht="15.75" customHeight="1" x14ac:dyDescent="0.25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3:33" ht="15.75" customHeight="1" x14ac:dyDescent="0.25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3:33" ht="15.75" customHeight="1" x14ac:dyDescent="0.2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3:33" ht="15.75" customHeight="1" x14ac:dyDescent="0.25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3:33" ht="15.75" customHeight="1" x14ac:dyDescent="0.25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3:33" ht="15.75" customHeight="1" x14ac:dyDescent="0.25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3:33" ht="15.75" customHeight="1" x14ac:dyDescent="0.25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3:33" ht="15.75" customHeight="1" x14ac:dyDescent="0.25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3:33" ht="15.75" customHeight="1" x14ac:dyDescent="0.25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3:33" ht="15.75" customHeight="1" x14ac:dyDescent="0.25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3:33" ht="15.75" customHeight="1" x14ac:dyDescent="0.2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3:33" ht="15.75" customHeight="1" x14ac:dyDescent="0.2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3:33" ht="15.75" customHeight="1" x14ac:dyDescent="0.2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3:33" ht="15.75" customHeight="1" x14ac:dyDescent="0.2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3:33" ht="15.75" customHeight="1" x14ac:dyDescent="0.2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3:33" ht="15.75" customHeight="1" x14ac:dyDescent="0.2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3:33" ht="15.75" customHeight="1" x14ac:dyDescent="0.2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3:33" ht="15.75" customHeight="1" x14ac:dyDescent="0.25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3:33" ht="15.75" customHeight="1" x14ac:dyDescent="0.25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3:33" ht="15.75" customHeight="1" x14ac:dyDescent="0.25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3:33" ht="15.75" customHeight="1" x14ac:dyDescent="0.25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3:33" ht="15.75" customHeight="1" x14ac:dyDescent="0.2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3:33" ht="15.75" customHeight="1" x14ac:dyDescent="0.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3:33" ht="15.75" customHeight="1" x14ac:dyDescent="0.2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3:33" ht="15.75" customHeight="1" x14ac:dyDescent="0.2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3:33" ht="15.75" customHeight="1" x14ac:dyDescent="0.2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3:33" ht="15.75" customHeight="1" x14ac:dyDescent="0.2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3:33" ht="15.75" customHeight="1" x14ac:dyDescent="0.2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3:33" ht="15.75" customHeight="1" x14ac:dyDescent="0.2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3:33" ht="15.75" customHeight="1" x14ac:dyDescent="0.25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3:33" ht="15.75" customHeight="1" x14ac:dyDescent="0.25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3:33" ht="15.75" customHeight="1" x14ac:dyDescent="0.25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3:33" ht="15.75" customHeight="1" x14ac:dyDescent="0.2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3:33" ht="15.75" customHeight="1" x14ac:dyDescent="0.25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3:33" ht="15.75" customHeight="1" x14ac:dyDescent="0.25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3:33" ht="15.75" customHeight="1" x14ac:dyDescent="0.25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3:33" ht="15.75" customHeight="1" x14ac:dyDescent="0.25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3:33" ht="15.75" customHeight="1" x14ac:dyDescent="0.25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3:33" ht="15.75" customHeight="1" x14ac:dyDescent="0.25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3:33" ht="15.75" customHeight="1" x14ac:dyDescent="0.25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3:33" ht="15.75" customHeight="1" x14ac:dyDescent="0.25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3:33" ht="15.75" customHeight="1" x14ac:dyDescent="0.25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3:33" ht="15.75" customHeight="1" x14ac:dyDescent="0.2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3:33" ht="15.75" customHeight="1" x14ac:dyDescent="0.25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3:33" ht="15.75" customHeight="1" x14ac:dyDescent="0.25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3:33" ht="15.75" customHeight="1" x14ac:dyDescent="0.25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3:33" ht="15.75" customHeight="1" x14ac:dyDescent="0.25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3:33" ht="15.75" customHeight="1" x14ac:dyDescent="0.25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3:33" ht="15.75" customHeight="1" x14ac:dyDescent="0.25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3:33" ht="15.75" customHeight="1" x14ac:dyDescent="0.25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3:33" ht="15.75" customHeight="1" x14ac:dyDescent="0.25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3:33" ht="15.75" customHeight="1" x14ac:dyDescent="0.25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3:33" ht="15.75" customHeight="1" x14ac:dyDescent="0.2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3:33" ht="15.75" customHeight="1" x14ac:dyDescent="0.25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3:33" ht="15.75" customHeight="1" x14ac:dyDescent="0.25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3:33" ht="15.75" customHeight="1" x14ac:dyDescent="0.25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3:33" ht="15.75" customHeight="1" x14ac:dyDescent="0.25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3:33" ht="15.75" customHeight="1" x14ac:dyDescent="0.25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3:33" ht="15.75" customHeight="1" x14ac:dyDescent="0.25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3:33" ht="15.75" customHeight="1" x14ac:dyDescent="0.25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3:33" ht="15.75" customHeight="1" x14ac:dyDescent="0.25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3:33" ht="15.75" customHeight="1" x14ac:dyDescent="0.25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3:33" ht="15.75" customHeight="1" x14ac:dyDescent="0.2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3:33" ht="15.75" customHeight="1" x14ac:dyDescent="0.25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3:33" ht="15.75" customHeight="1" x14ac:dyDescent="0.25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3:33" ht="15.75" customHeight="1" x14ac:dyDescent="0.25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3:33" ht="15.75" customHeight="1" x14ac:dyDescent="0.25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3:33" ht="15.75" customHeight="1" x14ac:dyDescent="0.25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3:33" ht="15.75" customHeight="1" x14ac:dyDescent="0.25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3:33" ht="15.75" customHeight="1" x14ac:dyDescent="0.25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3:33" ht="15.75" customHeight="1" x14ac:dyDescent="0.25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3:33" ht="15.75" customHeight="1" x14ac:dyDescent="0.25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3:33" ht="15.75" customHeight="1" x14ac:dyDescent="0.2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3:33" ht="15.75" customHeight="1" x14ac:dyDescent="0.25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3:33" ht="15.75" customHeight="1" x14ac:dyDescent="0.25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3:33" ht="15.75" customHeight="1" x14ac:dyDescent="0.25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3:33" ht="15.75" customHeight="1" x14ac:dyDescent="0.25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3:33" ht="15.75" customHeight="1" x14ac:dyDescent="0.25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3:33" ht="15.75" customHeight="1" x14ac:dyDescent="0.25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3:33" ht="15.75" customHeight="1" x14ac:dyDescent="0.25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3:33" ht="15.75" customHeight="1" x14ac:dyDescent="0.25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3:33" ht="15.75" customHeight="1" x14ac:dyDescent="0.25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3:33" ht="15.75" customHeight="1" x14ac:dyDescent="0.2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3:33" ht="15.75" customHeight="1" x14ac:dyDescent="0.25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3:33" ht="15.75" customHeight="1" x14ac:dyDescent="0.25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3:33" ht="15.75" customHeight="1" x14ac:dyDescent="0.25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3:33" ht="15.75" customHeight="1" x14ac:dyDescent="0.25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3:33" ht="15.75" customHeight="1" x14ac:dyDescent="0.25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3:33" ht="15.75" customHeight="1" x14ac:dyDescent="0.25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3:33" ht="15.75" customHeight="1" x14ac:dyDescent="0.25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3:33" ht="15.75" customHeight="1" x14ac:dyDescent="0.25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3:33" ht="15.75" customHeight="1" x14ac:dyDescent="0.25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3:33" ht="15.75" customHeight="1" x14ac:dyDescent="0.2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3:33" ht="15.75" customHeight="1" x14ac:dyDescent="0.25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3:33" ht="15.75" customHeight="1" x14ac:dyDescent="0.25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3:33" ht="15.75" customHeight="1" x14ac:dyDescent="0.25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3:33" ht="15.75" customHeight="1" x14ac:dyDescent="0.25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3:33" ht="15.75" customHeight="1" x14ac:dyDescent="0.25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3:33" ht="15.75" customHeight="1" x14ac:dyDescent="0.25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3:33" ht="15.75" customHeight="1" x14ac:dyDescent="0.25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3:33" ht="15.75" customHeight="1" x14ac:dyDescent="0.25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3:33" ht="15.75" customHeight="1" x14ac:dyDescent="0.25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3:33" ht="15.75" customHeight="1" x14ac:dyDescent="0.2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3:33" ht="15.75" customHeight="1" x14ac:dyDescent="0.25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3:33" ht="15.75" customHeight="1" x14ac:dyDescent="0.25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3:33" ht="15.75" customHeight="1" x14ac:dyDescent="0.25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3:33" ht="15.75" customHeight="1" x14ac:dyDescent="0.25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3:33" ht="15.75" customHeight="1" x14ac:dyDescent="0.25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3:33" ht="15.75" customHeight="1" x14ac:dyDescent="0.25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3:33" ht="15.75" customHeight="1" x14ac:dyDescent="0.25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3:33" ht="15.75" customHeight="1" x14ac:dyDescent="0.25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3:33" ht="15.75" customHeight="1" x14ac:dyDescent="0.25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3:33" ht="15.75" customHeight="1" x14ac:dyDescent="0.2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3:33" ht="15.75" customHeight="1" x14ac:dyDescent="0.25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3:33" ht="15.75" customHeight="1" x14ac:dyDescent="0.25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3:33" ht="15.75" customHeight="1" x14ac:dyDescent="0.25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3:33" ht="15.75" customHeight="1" x14ac:dyDescent="0.25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3:33" ht="15.75" customHeight="1" x14ac:dyDescent="0.25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3:33" ht="15.75" customHeight="1" x14ac:dyDescent="0.25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3:33" ht="15.75" customHeight="1" x14ac:dyDescent="0.25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3:33" ht="15.75" customHeight="1" x14ac:dyDescent="0.25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3:33" ht="15.75" customHeight="1" x14ac:dyDescent="0.25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3:33" ht="15.75" customHeight="1" x14ac:dyDescent="0.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3:33" ht="15.75" customHeight="1" x14ac:dyDescent="0.25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3:33" ht="15.75" customHeight="1" x14ac:dyDescent="0.25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3:33" ht="15.75" customHeight="1" x14ac:dyDescent="0.25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3:33" ht="15.75" customHeight="1" x14ac:dyDescent="0.25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3:33" ht="15.75" customHeight="1" x14ac:dyDescent="0.25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3:33" ht="15.75" customHeight="1" x14ac:dyDescent="0.25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3:33" ht="15.75" customHeight="1" x14ac:dyDescent="0.25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3:33" ht="15.75" customHeight="1" x14ac:dyDescent="0.25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3:33" ht="15.75" customHeight="1" x14ac:dyDescent="0.25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3:33" ht="15.75" customHeight="1" x14ac:dyDescent="0.2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3:33" ht="15.75" customHeight="1" x14ac:dyDescent="0.25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3:33" ht="15.75" customHeight="1" x14ac:dyDescent="0.25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3:33" ht="15.75" customHeight="1" x14ac:dyDescent="0.25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3:33" ht="15.75" customHeight="1" x14ac:dyDescent="0.25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3:33" ht="15.75" customHeight="1" x14ac:dyDescent="0.25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3:33" ht="15.75" customHeight="1" x14ac:dyDescent="0.25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3:33" ht="15.75" customHeight="1" x14ac:dyDescent="0.25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3:33" ht="15.75" customHeight="1" x14ac:dyDescent="0.25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3:33" ht="15.75" customHeight="1" x14ac:dyDescent="0.25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3:33" ht="15.75" customHeight="1" x14ac:dyDescent="0.2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3:33" ht="15.75" customHeight="1" x14ac:dyDescent="0.25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3:33" ht="15.75" customHeight="1" x14ac:dyDescent="0.25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3:33" ht="15.75" customHeight="1" x14ac:dyDescent="0.25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3:33" ht="15.75" customHeight="1" x14ac:dyDescent="0.25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3:33" ht="15.75" customHeight="1" x14ac:dyDescent="0.25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3:33" ht="15.75" customHeight="1" x14ac:dyDescent="0.25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3:33" ht="15.75" customHeight="1" x14ac:dyDescent="0.25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3:33" ht="15.75" customHeight="1" x14ac:dyDescent="0.25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3:33" ht="15.75" customHeight="1" x14ac:dyDescent="0.25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3:33" ht="15.75" customHeight="1" x14ac:dyDescent="0.2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3:33" ht="15.75" customHeight="1" x14ac:dyDescent="0.25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3:33" ht="15.75" customHeight="1" x14ac:dyDescent="0.25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3:33" ht="15.75" customHeight="1" x14ac:dyDescent="0.25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3:33" ht="15.75" customHeight="1" x14ac:dyDescent="0.25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3:33" ht="15.75" customHeight="1" x14ac:dyDescent="0.25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3:33" ht="15.75" customHeight="1" x14ac:dyDescent="0.25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3:33" ht="15.75" customHeight="1" x14ac:dyDescent="0.25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3:33" ht="15.75" customHeight="1" x14ac:dyDescent="0.25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3:33" ht="15.75" customHeight="1" x14ac:dyDescent="0.25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3:33" ht="15.75" customHeight="1" x14ac:dyDescent="0.2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3:33" ht="15.75" customHeight="1" x14ac:dyDescent="0.25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3:33" ht="15.75" customHeight="1" x14ac:dyDescent="0.25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3:33" ht="15.75" customHeight="1" x14ac:dyDescent="0.25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3:33" ht="15.75" customHeight="1" x14ac:dyDescent="0.25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3:33" ht="15.75" customHeight="1" x14ac:dyDescent="0.25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3:33" ht="15.75" customHeight="1" x14ac:dyDescent="0.25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3:33" ht="15.75" customHeight="1" x14ac:dyDescent="0.25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3:33" ht="15.75" customHeight="1" x14ac:dyDescent="0.25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3:33" ht="15.75" customHeight="1" x14ac:dyDescent="0.25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3:33" ht="15.75" customHeight="1" x14ac:dyDescent="0.2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3:33" ht="15.75" customHeight="1" x14ac:dyDescent="0.25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3:33" ht="15.75" customHeight="1" x14ac:dyDescent="0.25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3:33" ht="15.75" customHeight="1" x14ac:dyDescent="0.25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3:33" ht="15.75" customHeight="1" x14ac:dyDescent="0.25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3:33" ht="15.75" customHeight="1" x14ac:dyDescent="0.25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3:33" ht="15.75" customHeight="1" x14ac:dyDescent="0.25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3:33" ht="15.75" customHeight="1" x14ac:dyDescent="0.25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3:33" ht="15.75" customHeight="1" x14ac:dyDescent="0.25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3:33" ht="15.75" customHeight="1" x14ac:dyDescent="0.25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3:33" ht="15.75" customHeight="1" x14ac:dyDescent="0.2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3:33" ht="15.75" customHeight="1" x14ac:dyDescent="0.25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3:33" ht="15.75" customHeight="1" x14ac:dyDescent="0.25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3:33" ht="15.75" customHeight="1" x14ac:dyDescent="0.25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3:33" ht="15.75" customHeight="1" x14ac:dyDescent="0.25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3:33" ht="15.75" customHeight="1" x14ac:dyDescent="0.25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3:33" ht="15.75" customHeight="1" x14ac:dyDescent="0.25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3:33" ht="15.75" customHeight="1" x14ac:dyDescent="0.25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3:33" ht="15.75" customHeight="1" x14ac:dyDescent="0.25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3:33" ht="15.75" customHeight="1" x14ac:dyDescent="0.25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3:33" ht="15.75" customHeight="1" x14ac:dyDescent="0.2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3:33" ht="15.75" customHeight="1" x14ac:dyDescent="0.25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3:33" ht="15.75" customHeight="1" x14ac:dyDescent="0.25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3:33" ht="15.75" customHeight="1" x14ac:dyDescent="0.25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3:33" ht="15.75" customHeight="1" x14ac:dyDescent="0.25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3:33" ht="15.75" customHeight="1" x14ac:dyDescent="0.25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3:33" ht="15.75" customHeight="1" x14ac:dyDescent="0.25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3:33" ht="15.75" customHeight="1" x14ac:dyDescent="0.25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3:33" ht="15.75" customHeight="1" x14ac:dyDescent="0.25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3:33" ht="15.75" customHeight="1" x14ac:dyDescent="0.25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3:33" ht="15.75" customHeight="1" x14ac:dyDescent="0.2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3:33" ht="15.75" customHeight="1" x14ac:dyDescent="0.25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3:33" ht="15.75" customHeight="1" x14ac:dyDescent="0.25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3:33" ht="15.75" customHeight="1" x14ac:dyDescent="0.25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3:33" ht="15.75" customHeight="1" x14ac:dyDescent="0.25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3:33" ht="15.75" customHeight="1" x14ac:dyDescent="0.25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3:33" ht="15.75" customHeight="1" x14ac:dyDescent="0.25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3:33" ht="15.75" customHeight="1" x14ac:dyDescent="0.25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3:33" ht="15.75" customHeight="1" x14ac:dyDescent="0.25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3:33" ht="15.75" customHeight="1" x14ac:dyDescent="0.25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3:33" ht="15.75" customHeight="1" x14ac:dyDescent="0.2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3:33" ht="15.75" customHeight="1" x14ac:dyDescent="0.25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3:33" ht="15.75" customHeight="1" x14ac:dyDescent="0.25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3:33" ht="15.75" customHeight="1" x14ac:dyDescent="0.25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3:33" ht="15.75" customHeight="1" x14ac:dyDescent="0.25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3:33" ht="15.75" customHeight="1" x14ac:dyDescent="0.25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3:33" ht="15.75" customHeight="1" x14ac:dyDescent="0.25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3:33" ht="15.75" customHeight="1" x14ac:dyDescent="0.25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3:33" ht="15.75" customHeight="1" x14ac:dyDescent="0.25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3:33" ht="15.75" customHeight="1" x14ac:dyDescent="0.25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3:33" ht="15.75" customHeight="1" x14ac:dyDescent="0.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3:33" ht="15.75" customHeight="1" x14ac:dyDescent="0.25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3:33" ht="15.75" customHeight="1" x14ac:dyDescent="0.25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3:33" ht="15.75" customHeight="1" x14ac:dyDescent="0.25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3:33" ht="15.75" customHeight="1" x14ac:dyDescent="0.25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3:33" ht="15.75" customHeight="1" x14ac:dyDescent="0.25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3:33" ht="15.75" customHeight="1" x14ac:dyDescent="0.25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3:33" ht="15.75" customHeight="1" x14ac:dyDescent="0.25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3:33" ht="15.75" customHeight="1" x14ac:dyDescent="0.25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3:33" ht="15.75" customHeight="1" x14ac:dyDescent="0.25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3:33" ht="15.75" customHeight="1" x14ac:dyDescent="0.2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3:33" ht="15.75" customHeight="1" x14ac:dyDescent="0.25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3:33" ht="15.75" customHeight="1" x14ac:dyDescent="0.25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3:33" ht="15.75" customHeight="1" x14ac:dyDescent="0.25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3:33" ht="15.75" customHeight="1" x14ac:dyDescent="0.25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3:33" ht="15.75" customHeight="1" x14ac:dyDescent="0.25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3:33" ht="15.75" customHeight="1" x14ac:dyDescent="0.25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3:33" ht="15.75" customHeight="1" x14ac:dyDescent="0.25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3:33" ht="15.75" customHeight="1" x14ac:dyDescent="0.25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3:33" ht="15.75" customHeight="1" x14ac:dyDescent="0.25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3:33" ht="15.75" customHeight="1" x14ac:dyDescent="0.2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3:33" ht="15.75" customHeight="1" x14ac:dyDescent="0.25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3:33" ht="15.75" customHeight="1" x14ac:dyDescent="0.25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3:33" ht="15.75" customHeight="1" x14ac:dyDescent="0.25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3:33" ht="15.75" customHeight="1" x14ac:dyDescent="0.25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3:33" ht="15.75" customHeight="1" x14ac:dyDescent="0.25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3:33" ht="15.75" customHeight="1" x14ac:dyDescent="0.25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3:33" ht="15.75" customHeight="1" x14ac:dyDescent="0.25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3:33" ht="15.75" customHeight="1" x14ac:dyDescent="0.25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3:33" ht="15.75" customHeight="1" x14ac:dyDescent="0.25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3:33" ht="15.75" customHeight="1" x14ac:dyDescent="0.2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3:33" ht="15.75" customHeight="1" x14ac:dyDescent="0.25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3:33" ht="15.75" customHeight="1" x14ac:dyDescent="0.25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3:33" ht="15.75" customHeight="1" x14ac:dyDescent="0.25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3:33" ht="15.75" customHeight="1" x14ac:dyDescent="0.25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3:33" ht="15.75" customHeight="1" x14ac:dyDescent="0.25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3:33" ht="15.75" customHeight="1" x14ac:dyDescent="0.25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3:33" ht="15.75" customHeight="1" x14ac:dyDescent="0.25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3:33" ht="15.75" customHeight="1" x14ac:dyDescent="0.25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3:33" ht="15.75" customHeight="1" x14ac:dyDescent="0.25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3:33" ht="15.75" customHeight="1" x14ac:dyDescent="0.2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3:33" ht="15.75" customHeight="1" x14ac:dyDescent="0.25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3:33" ht="15.75" customHeight="1" x14ac:dyDescent="0.25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3:33" ht="15.75" customHeight="1" x14ac:dyDescent="0.25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3:33" ht="15.75" customHeight="1" x14ac:dyDescent="0.25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3:33" ht="15.75" customHeight="1" x14ac:dyDescent="0.25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3:33" ht="15.75" customHeight="1" x14ac:dyDescent="0.25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3:33" ht="15.75" customHeight="1" x14ac:dyDescent="0.25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3:33" ht="15.75" customHeight="1" x14ac:dyDescent="0.25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3:33" ht="15.75" customHeight="1" x14ac:dyDescent="0.25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3:33" ht="15.75" customHeight="1" x14ac:dyDescent="0.2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3:33" ht="15.75" customHeight="1" x14ac:dyDescent="0.25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3:33" ht="15.75" customHeight="1" x14ac:dyDescent="0.25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3:33" ht="15.75" customHeight="1" x14ac:dyDescent="0.25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3:33" ht="15.75" customHeight="1" x14ac:dyDescent="0.25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3:33" ht="15.75" customHeight="1" x14ac:dyDescent="0.25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3:33" ht="15.75" customHeight="1" x14ac:dyDescent="0.25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3:33" ht="15.75" customHeight="1" x14ac:dyDescent="0.25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3:33" ht="15.75" customHeight="1" x14ac:dyDescent="0.25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3:33" ht="15.75" customHeight="1" x14ac:dyDescent="0.25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3:33" ht="15.75" customHeight="1" x14ac:dyDescent="0.2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3:33" ht="15.75" customHeight="1" x14ac:dyDescent="0.25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3:33" ht="15.75" customHeight="1" x14ac:dyDescent="0.25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3:33" ht="15.75" customHeight="1" x14ac:dyDescent="0.25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3:33" ht="15.75" customHeight="1" x14ac:dyDescent="0.25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3:33" ht="15.75" customHeight="1" x14ac:dyDescent="0.25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3:33" ht="15.75" customHeight="1" x14ac:dyDescent="0.25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3:33" ht="15.75" customHeight="1" x14ac:dyDescent="0.25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3:33" ht="15.75" customHeight="1" x14ac:dyDescent="0.25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3:33" ht="15.75" customHeight="1" x14ac:dyDescent="0.25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3:33" ht="15.75" customHeight="1" x14ac:dyDescent="0.2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3:33" ht="15.75" customHeight="1" x14ac:dyDescent="0.25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3:33" ht="15.75" customHeight="1" x14ac:dyDescent="0.25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3:33" ht="15.75" customHeight="1" x14ac:dyDescent="0.25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3:33" ht="15.75" customHeight="1" x14ac:dyDescent="0.25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3:33" ht="15.75" customHeight="1" x14ac:dyDescent="0.25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3:33" ht="15.75" customHeight="1" x14ac:dyDescent="0.25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3:33" ht="15.75" customHeight="1" x14ac:dyDescent="0.25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3:33" ht="15.75" customHeight="1" x14ac:dyDescent="0.25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3:33" ht="15.75" customHeight="1" x14ac:dyDescent="0.25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3:33" ht="15.75" customHeight="1" x14ac:dyDescent="0.2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3:33" ht="15.75" customHeight="1" x14ac:dyDescent="0.25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3:33" ht="15.75" customHeight="1" x14ac:dyDescent="0.25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3:33" ht="15.75" customHeight="1" x14ac:dyDescent="0.25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3:33" ht="15.75" customHeight="1" x14ac:dyDescent="0.25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3:33" ht="15.75" customHeight="1" x14ac:dyDescent="0.25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3:33" ht="15.75" customHeight="1" x14ac:dyDescent="0.25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3:33" ht="15.75" customHeight="1" x14ac:dyDescent="0.25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3:33" ht="15.75" customHeight="1" x14ac:dyDescent="0.25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3:33" ht="15.75" customHeight="1" x14ac:dyDescent="0.25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3:33" ht="15.75" customHeight="1" x14ac:dyDescent="0.2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3:33" ht="15.75" customHeight="1" x14ac:dyDescent="0.25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3:33" ht="15.75" customHeight="1" x14ac:dyDescent="0.25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3:33" ht="15.75" customHeight="1" x14ac:dyDescent="0.25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3:33" ht="15.75" customHeight="1" x14ac:dyDescent="0.25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3:33" ht="15.75" customHeight="1" x14ac:dyDescent="0.25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3:33" ht="15.75" customHeight="1" x14ac:dyDescent="0.25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3:33" ht="15.75" customHeight="1" x14ac:dyDescent="0.25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3:33" ht="15.75" customHeight="1" x14ac:dyDescent="0.25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3:33" ht="15.75" customHeight="1" x14ac:dyDescent="0.25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3:33" ht="15.75" customHeight="1" x14ac:dyDescent="0.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3:33" ht="15.75" customHeight="1" x14ac:dyDescent="0.25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3:33" ht="15.75" customHeight="1" x14ac:dyDescent="0.25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3:33" ht="15.75" customHeight="1" x14ac:dyDescent="0.25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3:33" ht="15.75" customHeight="1" x14ac:dyDescent="0.25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3:33" ht="15.75" customHeight="1" x14ac:dyDescent="0.25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3:33" ht="15.75" customHeight="1" x14ac:dyDescent="0.25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3:33" ht="15.75" customHeight="1" x14ac:dyDescent="0.25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3:33" ht="15.75" customHeight="1" x14ac:dyDescent="0.25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3:33" ht="15.75" customHeight="1" x14ac:dyDescent="0.25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3:33" ht="15.75" customHeight="1" x14ac:dyDescent="0.2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3:33" ht="15.75" customHeight="1" x14ac:dyDescent="0.25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3:33" ht="15.75" customHeight="1" x14ac:dyDescent="0.25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3:33" ht="15.75" customHeight="1" x14ac:dyDescent="0.25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3:33" ht="15.75" customHeight="1" x14ac:dyDescent="0.25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3:33" ht="15.75" customHeight="1" x14ac:dyDescent="0.25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3:33" ht="15.75" customHeight="1" x14ac:dyDescent="0.25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3:33" ht="15.75" customHeight="1" x14ac:dyDescent="0.25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3:33" ht="15.75" customHeight="1" x14ac:dyDescent="0.25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3:33" ht="15.75" customHeight="1" x14ac:dyDescent="0.25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3:33" ht="15.75" customHeight="1" x14ac:dyDescent="0.2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3:33" ht="15.75" customHeight="1" x14ac:dyDescent="0.25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3:33" ht="15.75" customHeight="1" x14ac:dyDescent="0.25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3:33" ht="15.75" customHeight="1" x14ac:dyDescent="0.25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3:33" ht="15.75" customHeight="1" x14ac:dyDescent="0.25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3:33" ht="15.75" customHeight="1" x14ac:dyDescent="0.25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3:33" ht="15.75" customHeight="1" x14ac:dyDescent="0.25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3:33" ht="15.75" customHeight="1" x14ac:dyDescent="0.25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3:33" ht="15.75" customHeight="1" x14ac:dyDescent="0.25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3:33" ht="15.75" customHeight="1" x14ac:dyDescent="0.25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3:33" ht="15.75" customHeight="1" x14ac:dyDescent="0.2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3:33" ht="15.75" customHeight="1" x14ac:dyDescent="0.25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3:33" ht="15.75" customHeight="1" x14ac:dyDescent="0.25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3:33" ht="15.75" customHeight="1" x14ac:dyDescent="0.25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3:33" ht="15.75" customHeight="1" x14ac:dyDescent="0.25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3:33" ht="15.75" customHeight="1" x14ac:dyDescent="0.25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3:33" ht="15.75" customHeight="1" x14ac:dyDescent="0.25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3:33" ht="15.75" customHeight="1" x14ac:dyDescent="0.25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3:33" ht="15.75" customHeight="1" x14ac:dyDescent="0.25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3:33" ht="15.75" customHeight="1" x14ac:dyDescent="0.25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3:33" ht="15.75" customHeight="1" x14ac:dyDescent="0.2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3:33" ht="15.75" customHeight="1" x14ac:dyDescent="0.25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3:33" ht="15.75" customHeight="1" x14ac:dyDescent="0.25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3:33" ht="15.75" customHeight="1" x14ac:dyDescent="0.25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3:33" ht="15.75" customHeight="1" x14ac:dyDescent="0.25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3:33" ht="15.75" customHeight="1" x14ac:dyDescent="0.25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3:33" ht="15.75" customHeight="1" x14ac:dyDescent="0.25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3:33" ht="15.75" customHeight="1" x14ac:dyDescent="0.25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3:33" ht="15.75" customHeight="1" x14ac:dyDescent="0.25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3:33" ht="15.75" customHeight="1" x14ac:dyDescent="0.25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3:33" ht="15.75" customHeight="1" x14ac:dyDescent="0.2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3:33" ht="15.75" customHeight="1" x14ac:dyDescent="0.25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3:33" ht="15.75" customHeight="1" x14ac:dyDescent="0.25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3:33" ht="15.75" customHeight="1" x14ac:dyDescent="0.25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3:33" ht="15.75" customHeight="1" x14ac:dyDescent="0.25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3:33" ht="15.75" customHeight="1" x14ac:dyDescent="0.25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3:33" ht="15.75" customHeight="1" x14ac:dyDescent="0.25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3:33" ht="15.75" customHeight="1" x14ac:dyDescent="0.25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3:33" ht="15.75" customHeight="1" x14ac:dyDescent="0.25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3:33" ht="15.75" customHeight="1" x14ac:dyDescent="0.25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3:33" ht="15.75" customHeight="1" x14ac:dyDescent="0.2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3:33" ht="15.75" customHeight="1" x14ac:dyDescent="0.25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3:33" ht="15.75" customHeight="1" x14ac:dyDescent="0.25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3:33" ht="15.75" customHeight="1" x14ac:dyDescent="0.25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3:33" ht="15.75" customHeight="1" x14ac:dyDescent="0.25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3:33" ht="15.75" customHeight="1" x14ac:dyDescent="0.25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3:33" ht="15.75" customHeight="1" x14ac:dyDescent="0.25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3:33" ht="15.75" customHeight="1" x14ac:dyDescent="0.25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3:33" ht="15.75" customHeight="1" x14ac:dyDescent="0.25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3:33" ht="15.75" customHeight="1" x14ac:dyDescent="0.25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3:33" ht="15.75" customHeight="1" x14ac:dyDescent="0.2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3:33" ht="15.75" customHeight="1" x14ac:dyDescent="0.25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3:33" ht="15.75" customHeight="1" x14ac:dyDescent="0.25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3:33" ht="15.75" customHeight="1" x14ac:dyDescent="0.25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3:33" ht="15.75" customHeight="1" x14ac:dyDescent="0.25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3:33" ht="15.75" customHeight="1" x14ac:dyDescent="0.25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17">
    <mergeCell ref="AI37:AO37"/>
    <mergeCell ref="AI38:AO38"/>
    <mergeCell ref="AI39:AO39"/>
    <mergeCell ref="AI40:AO40"/>
    <mergeCell ref="AI41:AO41"/>
    <mergeCell ref="M1:W2"/>
    <mergeCell ref="C2:J2"/>
    <mergeCell ref="B3:B4"/>
    <mergeCell ref="C3:AH3"/>
    <mergeCell ref="H19:K19"/>
    <mergeCell ref="AI5:AO5"/>
    <mergeCell ref="AJ23:AN23"/>
    <mergeCell ref="B20:B21"/>
    <mergeCell ref="C20:AH20"/>
    <mergeCell ref="B33:B34"/>
    <mergeCell ref="C33:AH33"/>
    <mergeCell ref="AI23:AI24"/>
  </mergeCells>
  <pageMargins left="0.45" right="0.16" top="0.55000000000000004" bottom="0.75" header="0" footer="0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P996"/>
  <sheetViews>
    <sheetView showGridLines="0" topLeftCell="B1" zoomScale="112" zoomScaleNormal="112" workbookViewId="0">
      <selection activeCell="B1" sqref="A1:XFD1048576"/>
    </sheetView>
  </sheetViews>
  <sheetFormatPr defaultColWidth="14.42578125" defaultRowHeight="15" customHeight="1" x14ac:dyDescent="0.25"/>
  <cols>
    <col min="1" max="1" width="2.28515625" hidden="1" customWidth="1"/>
    <col min="2" max="2" width="13.140625" customWidth="1"/>
    <col min="3" max="33" width="6.7109375" customWidth="1"/>
    <col min="34" max="34" width="11.85546875" customWidth="1"/>
  </cols>
  <sheetData>
    <row r="1" spans="2:42" ht="18.75" x14ac:dyDescent="0.3"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2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2"/>
      <c r="AI1" s="70"/>
    </row>
    <row r="2" spans="2:42" ht="18.75" x14ac:dyDescent="0.3">
      <c r="B2" s="62"/>
      <c r="C2" s="231" t="s">
        <v>11</v>
      </c>
      <c r="D2" s="224"/>
      <c r="E2" s="224"/>
      <c r="F2" s="224"/>
      <c r="G2" s="224"/>
      <c r="H2" s="224"/>
      <c r="I2" s="224"/>
      <c r="J2" s="225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2"/>
      <c r="AI2" s="70"/>
    </row>
    <row r="3" spans="2:42" ht="15.75" x14ac:dyDescent="0.25">
      <c r="B3" s="235" t="s">
        <v>0</v>
      </c>
      <c r="C3" s="236" t="s">
        <v>89</v>
      </c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5"/>
      <c r="AI3" s="238" t="s">
        <v>46</v>
      </c>
      <c r="AJ3" s="239"/>
      <c r="AK3" s="239"/>
      <c r="AL3" s="239"/>
      <c r="AM3" s="240"/>
    </row>
    <row r="4" spans="2:42" ht="15.75" x14ac:dyDescent="0.25">
      <c r="B4" s="227"/>
      <c r="C4" s="136">
        <v>1</v>
      </c>
      <c r="D4" s="136">
        <v>2</v>
      </c>
      <c r="E4" s="136">
        <v>3</v>
      </c>
      <c r="F4" s="136">
        <v>4</v>
      </c>
      <c r="G4" s="136">
        <v>5</v>
      </c>
      <c r="H4" s="136">
        <v>6</v>
      </c>
      <c r="I4" s="136">
        <v>7</v>
      </c>
      <c r="J4" s="136">
        <v>8</v>
      </c>
      <c r="K4" s="136">
        <v>9</v>
      </c>
      <c r="L4" s="136">
        <v>10</v>
      </c>
      <c r="M4" s="136">
        <v>11</v>
      </c>
      <c r="N4" s="136">
        <v>12</v>
      </c>
      <c r="O4" s="136">
        <v>13</v>
      </c>
      <c r="P4" s="136">
        <v>14</v>
      </c>
      <c r="Q4" s="136">
        <v>15</v>
      </c>
      <c r="R4" s="136">
        <v>16</v>
      </c>
      <c r="S4" s="136">
        <v>17</v>
      </c>
      <c r="T4" s="136">
        <v>18</v>
      </c>
      <c r="U4" s="136">
        <v>19</v>
      </c>
      <c r="V4" s="136">
        <v>20</v>
      </c>
      <c r="W4" s="136">
        <v>21</v>
      </c>
      <c r="X4" s="136">
        <v>22</v>
      </c>
      <c r="Y4" s="136">
        <v>23</v>
      </c>
      <c r="Z4" s="136">
        <v>24</v>
      </c>
      <c r="AA4" s="136">
        <v>25</v>
      </c>
      <c r="AB4" s="136">
        <v>26</v>
      </c>
      <c r="AC4" s="136">
        <v>27</v>
      </c>
      <c r="AD4" s="136">
        <v>28</v>
      </c>
      <c r="AE4" s="136">
        <v>29</v>
      </c>
      <c r="AF4" s="136">
        <v>30</v>
      </c>
      <c r="AG4" s="136">
        <v>31</v>
      </c>
      <c r="AH4" s="137" t="s">
        <v>9</v>
      </c>
      <c r="AI4" s="241"/>
      <c r="AJ4" s="242"/>
      <c r="AK4" s="242"/>
      <c r="AL4" s="242"/>
      <c r="AM4" s="243"/>
    </row>
    <row r="5" spans="2:42" s="115" customFormat="1" ht="14.25" customHeight="1" x14ac:dyDescent="0.25">
      <c r="B5" s="121" t="s">
        <v>72</v>
      </c>
      <c r="C5" s="121">
        <v>0</v>
      </c>
      <c r="D5" s="121">
        <v>0</v>
      </c>
      <c r="E5" s="121">
        <v>0</v>
      </c>
      <c r="F5" s="121">
        <v>0</v>
      </c>
      <c r="G5" s="121">
        <v>0</v>
      </c>
      <c r="H5" s="121">
        <v>0</v>
      </c>
      <c r="I5" s="121">
        <v>0</v>
      </c>
      <c r="J5" s="121">
        <v>2</v>
      </c>
      <c r="K5" s="121">
        <v>0</v>
      </c>
      <c r="L5" s="121">
        <v>0</v>
      </c>
      <c r="M5" s="121">
        <v>0</v>
      </c>
      <c r="N5" s="121">
        <v>0</v>
      </c>
      <c r="O5" s="121">
        <v>0</v>
      </c>
      <c r="P5" s="121">
        <v>0</v>
      </c>
      <c r="Q5" s="121">
        <v>0</v>
      </c>
      <c r="R5" s="121">
        <v>0</v>
      </c>
      <c r="S5" s="121">
        <v>0</v>
      </c>
      <c r="T5" s="121">
        <v>0</v>
      </c>
      <c r="U5" s="121">
        <v>0</v>
      </c>
      <c r="V5" s="121">
        <v>0</v>
      </c>
      <c r="W5" s="121">
        <v>0</v>
      </c>
      <c r="X5" s="121">
        <v>0</v>
      </c>
      <c r="Y5" s="121">
        <v>0</v>
      </c>
      <c r="Z5" s="121">
        <v>0</v>
      </c>
      <c r="AA5" s="121">
        <v>0</v>
      </c>
      <c r="AB5" s="121">
        <v>0</v>
      </c>
      <c r="AC5" s="121">
        <v>0</v>
      </c>
      <c r="AD5" s="121">
        <v>0</v>
      </c>
      <c r="AE5" s="121">
        <v>0</v>
      </c>
      <c r="AF5" s="121">
        <v>0</v>
      </c>
      <c r="AG5" s="121">
        <v>0</v>
      </c>
      <c r="AH5" s="121">
        <f>SUM(C5:AG5)</f>
        <v>2</v>
      </c>
      <c r="AI5" s="246">
        <v>0</v>
      </c>
      <c r="AJ5" s="247"/>
      <c r="AK5" s="247"/>
      <c r="AL5" s="247"/>
      <c r="AM5" s="247"/>
    </row>
    <row r="6" spans="2:42" s="116" customFormat="1" ht="15.75" x14ac:dyDescent="0.25">
      <c r="B6" s="123" t="s">
        <v>67</v>
      </c>
      <c r="C6" s="123">
        <v>0</v>
      </c>
      <c r="D6" s="123">
        <v>0</v>
      </c>
      <c r="E6" s="123">
        <v>0</v>
      </c>
      <c r="F6" s="123">
        <v>0</v>
      </c>
      <c r="G6" s="123">
        <v>0</v>
      </c>
      <c r="H6" s="123">
        <v>0</v>
      </c>
      <c r="I6" s="123">
        <v>0</v>
      </c>
      <c r="J6" s="123">
        <v>0</v>
      </c>
      <c r="K6" s="123">
        <v>0</v>
      </c>
      <c r="L6" s="123">
        <v>0</v>
      </c>
      <c r="M6" s="123">
        <v>0</v>
      </c>
      <c r="N6" s="123">
        <v>0</v>
      </c>
      <c r="O6" s="123">
        <v>0</v>
      </c>
      <c r="P6" s="123">
        <v>0</v>
      </c>
      <c r="Q6" s="123">
        <v>0</v>
      </c>
      <c r="R6" s="123">
        <v>0</v>
      </c>
      <c r="S6" s="123">
        <v>0</v>
      </c>
      <c r="T6" s="123">
        <v>0</v>
      </c>
      <c r="U6" s="123">
        <v>0</v>
      </c>
      <c r="V6" s="123">
        <v>0</v>
      </c>
      <c r="W6" s="123">
        <v>0</v>
      </c>
      <c r="X6" s="123">
        <v>0</v>
      </c>
      <c r="Y6" s="123">
        <v>0</v>
      </c>
      <c r="Z6" s="123">
        <v>0</v>
      </c>
      <c r="AA6" s="123">
        <v>0</v>
      </c>
      <c r="AB6" s="123">
        <v>0</v>
      </c>
      <c r="AC6" s="123">
        <v>0</v>
      </c>
      <c r="AD6" s="123">
        <v>0</v>
      </c>
      <c r="AE6" s="123">
        <v>0</v>
      </c>
      <c r="AF6" s="123">
        <v>0</v>
      </c>
      <c r="AG6" s="123">
        <v>0</v>
      </c>
      <c r="AH6" s="123">
        <f>SUM(C6:AG6)</f>
        <v>0</v>
      </c>
      <c r="AI6" s="246">
        <v>0</v>
      </c>
      <c r="AJ6" s="247"/>
      <c r="AK6" s="247"/>
      <c r="AL6" s="247"/>
      <c r="AM6" s="247"/>
    </row>
    <row r="7" spans="2:42" s="117" customFormat="1" ht="15.75" x14ac:dyDescent="0.25">
      <c r="B7" s="126" t="s">
        <v>68</v>
      </c>
      <c r="C7" s="126">
        <v>0</v>
      </c>
      <c r="D7" s="126">
        <v>0</v>
      </c>
      <c r="E7" s="126">
        <v>0</v>
      </c>
      <c r="F7" s="126">
        <v>0</v>
      </c>
      <c r="G7" s="126">
        <v>0</v>
      </c>
      <c r="H7" s="126">
        <v>0</v>
      </c>
      <c r="I7" s="126">
        <v>0</v>
      </c>
      <c r="J7" s="126">
        <v>0</v>
      </c>
      <c r="K7" s="126">
        <v>0</v>
      </c>
      <c r="L7" s="126">
        <v>0</v>
      </c>
      <c r="M7" s="126">
        <v>0</v>
      </c>
      <c r="N7" s="126">
        <v>0</v>
      </c>
      <c r="O7" s="126">
        <v>0</v>
      </c>
      <c r="P7" s="126">
        <v>0</v>
      </c>
      <c r="Q7" s="126">
        <v>0</v>
      </c>
      <c r="R7" s="126">
        <v>0</v>
      </c>
      <c r="S7" s="126">
        <v>0</v>
      </c>
      <c r="T7" s="126">
        <v>0</v>
      </c>
      <c r="U7" s="126">
        <v>0</v>
      </c>
      <c r="V7" s="126">
        <v>0</v>
      </c>
      <c r="W7" s="126">
        <v>0</v>
      </c>
      <c r="X7" s="126">
        <v>0</v>
      </c>
      <c r="Y7" s="126">
        <v>0</v>
      </c>
      <c r="Z7" s="126">
        <v>0</v>
      </c>
      <c r="AA7" s="126">
        <v>0</v>
      </c>
      <c r="AB7" s="126">
        <v>0</v>
      </c>
      <c r="AC7" s="126">
        <v>0</v>
      </c>
      <c r="AD7" s="126">
        <v>0</v>
      </c>
      <c r="AE7" s="126">
        <v>0</v>
      </c>
      <c r="AF7" s="126">
        <v>0</v>
      </c>
      <c r="AG7" s="126">
        <v>0</v>
      </c>
      <c r="AH7" s="126">
        <f>SUM(C7:AG7)</f>
        <v>0</v>
      </c>
      <c r="AI7" s="248" t="s">
        <v>84</v>
      </c>
      <c r="AJ7" s="247"/>
      <c r="AK7" s="247"/>
      <c r="AL7" s="247"/>
      <c r="AM7" s="247"/>
    </row>
    <row r="8" spans="2:42" s="118" customFormat="1" ht="14.25" hidden="1" customHeight="1" x14ac:dyDescent="0.25">
      <c r="B8" s="129" t="s">
        <v>47</v>
      </c>
      <c r="C8" s="129">
        <v>0</v>
      </c>
      <c r="D8" s="129">
        <v>0</v>
      </c>
      <c r="E8" s="129">
        <v>0</v>
      </c>
      <c r="F8" s="129">
        <v>0</v>
      </c>
      <c r="G8" s="129">
        <v>0</v>
      </c>
      <c r="H8" s="129">
        <v>0</v>
      </c>
      <c r="I8" s="129">
        <v>0</v>
      </c>
      <c r="J8" s="129">
        <v>0</v>
      </c>
      <c r="K8" s="129">
        <v>0</v>
      </c>
      <c r="L8" s="129">
        <v>0</v>
      </c>
      <c r="M8" s="129">
        <v>0</v>
      </c>
      <c r="N8" s="129">
        <v>0</v>
      </c>
      <c r="O8" s="129">
        <v>0</v>
      </c>
      <c r="P8" s="129">
        <v>0</v>
      </c>
      <c r="Q8" s="129">
        <v>0</v>
      </c>
      <c r="R8" s="129">
        <v>0</v>
      </c>
      <c r="S8" s="129">
        <v>0</v>
      </c>
      <c r="T8" s="129">
        <v>0</v>
      </c>
      <c r="U8" s="129">
        <v>0</v>
      </c>
      <c r="V8" s="129">
        <v>0</v>
      </c>
      <c r="W8" s="129">
        <v>0</v>
      </c>
      <c r="X8" s="129">
        <v>0</v>
      </c>
      <c r="Y8" s="129">
        <v>0</v>
      </c>
      <c r="Z8" s="129">
        <v>0</v>
      </c>
      <c r="AA8" s="129">
        <v>0</v>
      </c>
      <c r="AB8" s="129">
        <v>0</v>
      </c>
      <c r="AC8" s="129">
        <v>0</v>
      </c>
      <c r="AD8" s="129">
        <v>0</v>
      </c>
      <c r="AE8" s="129">
        <v>0</v>
      </c>
      <c r="AF8" s="129">
        <v>0</v>
      </c>
      <c r="AG8" s="129">
        <v>0</v>
      </c>
      <c r="AH8" s="129">
        <f>SUM(C8:AG8)</f>
        <v>0</v>
      </c>
      <c r="AI8" s="246">
        <v>0</v>
      </c>
      <c r="AJ8" s="247"/>
      <c r="AK8" s="247"/>
      <c r="AL8" s="247"/>
      <c r="AM8" s="247"/>
    </row>
    <row r="9" spans="2:42" s="119" customFormat="1" ht="15.75" x14ac:dyDescent="0.25">
      <c r="B9" s="132" t="s">
        <v>69</v>
      </c>
      <c r="C9" s="132">
        <v>0</v>
      </c>
      <c r="D9" s="132">
        <v>0</v>
      </c>
      <c r="E9" s="132">
        <v>0</v>
      </c>
      <c r="F9" s="132">
        <v>0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</v>
      </c>
      <c r="N9" s="132">
        <v>0</v>
      </c>
      <c r="O9" s="132">
        <v>0</v>
      </c>
      <c r="P9" s="132">
        <v>0</v>
      </c>
      <c r="Q9" s="132">
        <v>0</v>
      </c>
      <c r="R9" s="132">
        <v>0</v>
      </c>
      <c r="S9" s="132">
        <v>0</v>
      </c>
      <c r="T9" s="132">
        <v>0</v>
      </c>
      <c r="U9" s="132">
        <v>0</v>
      </c>
      <c r="V9" s="132">
        <v>0</v>
      </c>
      <c r="W9" s="132">
        <v>0</v>
      </c>
      <c r="X9" s="132">
        <v>0</v>
      </c>
      <c r="Y9" s="132">
        <v>0</v>
      </c>
      <c r="Z9" s="132">
        <v>0</v>
      </c>
      <c r="AA9" s="132">
        <v>0</v>
      </c>
      <c r="AB9" s="132">
        <v>0</v>
      </c>
      <c r="AC9" s="132">
        <v>0</v>
      </c>
      <c r="AD9" s="132">
        <v>0</v>
      </c>
      <c r="AE9" s="132">
        <v>0</v>
      </c>
      <c r="AF9" s="132">
        <v>0</v>
      </c>
      <c r="AG9" s="132">
        <v>0</v>
      </c>
      <c r="AH9" s="132">
        <f>SUM(C9:AG9)</f>
        <v>0</v>
      </c>
      <c r="AI9" s="246">
        <v>0</v>
      </c>
      <c r="AJ9" s="247"/>
      <c r="AK9" s="247"/>
      <c r="AL9" s="247"/>
      <c r="AM9" s="247"/>
    </row>
    <row r="10" spans="2:42" s="118" customFormat="1" x14ac:dyDescent="0.25">
      <c r="B10" s="149" t="s">
        <v>70</v>
      </c>
      <c r="C10" s="149">
        <v>0</v>
      </c>
      <c r="D10" s="149">
        <v>0</v>
      </c>
      <c r="E10" s="149">
        <v>0</v>
      </c>
      <c r="F10" s="149">
        <v>0</v>
      </c>
      <c r="G10" s="149">
        <v>0</v>
      </c>
      <c r="H10" s="149">
        <v>0</v>
      </c>
      <c r="I10" s="149">
        <v>0</v>
      </c>
      <c r="J10" s="149">
        <v>0</v>
      </c>
      <c r="K10" s="149">
        <v>0</v>
      </c>
      <c r="L10" s="149">
        <v>0</v>
      </c>
      <c r="M10" s="149">
        <v>0</v>
      </c>
      <c r="N10" s="149">
        <v>0</v>
      </c>
      <c r="O10" s="149">
        <v>0</v>
      </c>
      <c r="P10" s="149">
        <v>0</v>
      </c>
      <c r="Q10" s="149">
        <v>0</v>
      </c>
      <c r="R10" s="149">
        <v>0</v>
      </c>
      <c r="S10" s="149">
        <v>0</v>
      </c>
      <c r="T10" s="149">
        <v>0</v>
      </c>
      <c r="U10" s="149">
        <v>0</v>
      </c>
      <c r="V10" s="149">
        <v>0</v>
      </c>
      <c r="W10" s="149">
        <v>0</v>
      </c>
      <c r="X10" s="149">
        <v>0</v>
      </c>
      <c r="Y10" s="149">
        <v>0</v>
      </c>
      <c r="Z10" s="149">
        <v>0</v>
      </c>
      <c r="AA10" s="149">
        <v>0</v>
      </c>
      <c r="AB10" s="149">
        <v>0</v>
      </c>
      <c r="AC10" s="149">
        <v>0</v>
      </c>
      <c r="AD10" s="149">
        <v>0</v>
      </c>
      <c r="AE10" s="149">
        <v>0</v>
      </c>
      <c r="AF10" s="149">
        <v>0</v>
      </c>
      <c r="AG10" s="149">
        <v>0</v>
      </c>
      <c r="AH10" s="149">
        <f t="shared" ref="AH10" si="0">SUM(C10:AG10)</f>
        <v>0</v>
      </c>
      <c r="AI10" s="246">
        <v>0</v>
      </c>
      <c r="AJ10" s="247"/>
      <c r="AK10" s="247"/>
      <c r="AL10" s="247"/>
      <c r="AM10" s="247"/>
    </row>
    <row r="11" spans="2:42" ht="15.75" x14ac:dyDescent="0.25">
      <c r="B11" s="138" t="s">
        <v>71</v>
      </c>
      <c r="C11" s="67">
        <v>0</v>
      </c>
      <c r="D11" s="67">
        <v>0</v>
      </c>
      <c r="E11" s="67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7">
        <v>0</v>
      </c>
      <c r="AB11" s="67">
        <v>0</v>
      </c>
      <c r="AC11" s="67">
        <v>0</v>
      </c>
      <c r="AD11" s="67">
        <v>0</v>
      </c>
      <c r="AE11" s="67">
        <v>0</v>
      </c>
      <c r="AF11" s="67">
        <v>0</v>
      </c>
      <c r="AG11" s="67">
        <v>0</v>
      </c>
      <c r="AH11" s="139">
        <f>SUM(C11:AG11)</f>
        <v>0</v>
      </c>
      <c r="AI11" s="246">
        <v>0</v>
      </c>
      <c r="AJ11" s="247"/>
      <c r="AK11" s="247"/>
      <c r="AL11" s="247"/>
      <c r="AM11" s="247"/>
    </row>
    <row r="12" spans="2:42" ht="15.75" x14ac:dyDescent="0.25">
      <c r="B12" s="138" t="s">
        <v>75</v>
      </c>
      <c r="C12" s="67">
        <v>0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1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0</v>
      </c>
      <c r="S12" s="67">
        <v>0</v>
      </c>
      <c r="T12" s="67">
        <v>0</v>
      </c>
      <c r="U12" s="67">
        <v>0</v>
      </c>
      <c r="V12" s="67">
        <v>0</v>
      </c>
      <c r="W12" s="67">
        <v>0</v>
      </c>
      <c r="X12" s="67">
        <v>0</v>
      </c>
      <c r="Y12" s="67">
        <v>0</v>
      </c>
      <c r="Z12" s="67">
        <v>0</v>
      </c>
      <c r="AA12" s="67">
        <v>0</v>
      </c>
      <c r="AB12" s="67">
        <v>0</v>
      </c>
      <c r="AC12" s="67">
        <v>0</v>
      </c>
      <c r="AD12" s="67">
        <v>0</v>
      </c>
      <c r="AE12" s="67">
        <v>0</v>
      </c>
      <c r="AF12" s="67">
        <v>0</v>
      </c>
      <c r="AG12" s="67">
        <v>0</v>
      </c>
      <c r="AH12" s="139">
        <f t="shared" ref="AH12:AH13" si="1">SUM(C12:AG12)</f>
        <v>1</v>
      </c>
      <c r="AI12" s="248" t="s">
        <v>85</v>
      </c>
      <c r="AJ12" s="247"/>
      <c r="AK12" s="247"/>
      <c r="AL12" s="247"/>
      <c r="AM12" s="247"/>
    </row>
    <row r="13" spans="2:42" ht="18.75" x14ac:dyDescent="0.3">
      <c r="B13" s="138">
        <f>'Final Report'!B12</f>
        <v>0</v>
      </c>
      <c r="C13" s="67">
        <v>0</v>
      </c>
      <c r="D13" s="67">
        <v>0</v>
      </c>
      <c r="E13" s="67">
        <v>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0</v>
      </c>
      <c r="X13" s="67">
        <v>0</v>
      </c>
      <c r="Y13" s="67">
        <v>0</v>
      </c>
      <c r="Z13" s="67">
        <v>0</v>
      </c>
      <c r="AA13" s="67">
        <v>0</v>
      </c>
      <c r="AB13" s="67">
        <v>0</v>
      </c>
      <c r="AC13" s="67">
        <v>0</v>
      </c>
      <c r="AD13" s="67">
        <v>0</v>
      </c>
      <c r="AE13" s="67">
        <v>0</v>
      </c>
      <c r="AF13" s="67">
        <v>0</v>
      </c>
      <c r="AG13" s="67">
        <v>0</v>
      </c>
      <c r="AH13" s="139">
        <f t="shared" si="1"/>
        <v>0</v>
      </c>
      <c r="AI13" s="70"/>
      <c r="AJ13" s="244"/>
      <c r="AK13" s="229"/>
      <c r="AL13" s="229"/>
      <c r="AM13" s="229"/>
      <c r="AN13" s="229"/>
      <c r="AO13" s="229"/>
      <c r="AP13" s="229"/>
    </row>
    <row r="14" spans="2:42" ht="18.75" x14ac:dyDescent="0.3">
      <c r="B14" s="140" t="s">
        <v>9</v>
      </c>
      <c r="C14" s="139">
        <f>SUM(C5:C13)</f>
        <v>0</v>
      </c>
      <c r="D14" s="139">
        <f t="shared" ref="D14:AG14" si="2">SUM(D5:D13)</f>
        <v>0</v>
      </c>
      <c r="E14" s="139">
        <f t="shared" si="2"/>
        <v>0</v>
      </c>
      <c r="F14" s="139">
        <f t="shared" si="2"/>
        <v>0</v>
      </c>
      <c r="G14" s="139">
        <f t="shared" si="2"/>
        <v>0</v>
      </c>
      <c r="H14" s="139">
        <f t="shared" si="2"/>
        <v>0</v>
      </c>
      <c r="I14" s="139">
        <f t="shared" si="2"/>
        <v>0</v>
      </c>
      <c r="J14" s="139">
        <f t="shared" si="2"/>
        <v>3</v>
      </c>
      <c r="K14" s="139">
        <f t="shared" si="2"/>
        <v>0</v>
      </c>
      <c r="L14" s="139">
        <f t="shared" si="2"/>
        <v>0</v>
      </c>
      <c r="M14" s="139">
        <f t="shared" si="2"/>
        <v>0</v>
      </c>
      <c r="N14" s="139">
        <f t="shared" si="2"/>
        <v>0</v>
      </c>
      <c r="O14" s="139">
        <f t="shared" si="2"/>
        <v>0</v>
      </c>
      <c r="P14" s="139">
        <f t="shared" si="2"/>
        <v>0</v>
      </c>
      <c r="Q14" s="139">
        <f t="shared" si="2"/>
        <v>0</v>
      </c>
      <c r="R14" s="139">
        <f t="shared" si="2"/>
        <v>0</v>
      </c>
      <c r="S14" s="139">
        <f t="shared" si="2"/>
        <v>0</v>
      </c>
      <c r="T14" s="139">
        <f>SUM(T5:T13)</f>
        <v>0</v>
      </c>
      <c r="U14" s="139">
        <f t="shared" si="2"/>
        <v>0</v>
      </c>
      <c r="V14" s="139">
        <f t="shared" si="2"/>
        <v>0</v>
      </c>
      <c r="W14" s="139">
        <f t="shared" si="2"/>
        <v>0</v>
      </c>
      <c r="X14" s="139">
        <f t="shared" si="2"/>
        <v>0</v>
      </c>
      <c r="Y14" s="139">
        <f t="shared" si="2"/>
        <v>0</v>
      </c>
      <c r="Z14" s="139">
        <f t="shared" si="2"/>
        <v>0</v>
      </c>
      <c r="AA14" s="139">
        <f t="shared" si="2"/>
        <v>0</v>
      </c>
      <c r="AB14" s="139">
        <f t="shared" si="2"/>
        <v>0</v>
      </c>
      <c r="AC14" s="139">
        <f t="shared" si="2"/>
        <v>0</v>
      </c>
      <c r="AD14" s="139">
        <f t="shared" si="2"/>
        <v>0</v>
      </c>
      <c r="AE14" s="139">
        <f t="shared" si="2"/>
        <v>0</v>
      </c>
      <c r="AF14" s="139">
        <f t="shared" si="2"/>
        <v>0</v>
      </c>
      <c r="AG14" s="139">
        <f t="shared" si="2"/>
        <v>0</v>
      </c>
      <c r="AH14" s="139">
        <f>SUM(AH5:AH13)</f>
        <v>3</v>
      </c>
      <c r="AI14" s="70"/>
      <c r="AJ14" s="245"/>
      <c r="AK14" s="229"/>
      <c r="AL14" s="229"/>
      <c r="AM14" s="229"/>
      <c r="AN14" s="229"/>
      <c r="AO14" s="229"/>
      <c r="AP14" s="229"/>
    </row>
    <row r="15" spans="2:42" ht="18.75" x14ac:dyDescent="0.3"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237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63"/>
      <c r="AA15" s="63"/>
      <c r="AB15" s="63"/>
      <c r="AC15" s="63"/>
      <c r="AD15" s="63"/>
      <c r="AE15" s="63"/>
      <c r="AF15" s="63"/>
      <c r="AG15" s="63"/>
      <c r="AH15" s="62"/>
      <c r="AI15" s="70"/>
      <c r="AJ15" s="229"/>
      <c r="AK15" s="229"/>
      <c r="AL15" s="229"/>
      <c r="AM15" s="229"/>
      <c r="AN15" s="229"/>
      <c r="AO15" s="229"/>
      <c r="AP15" s="229"/>
    </row>
    <row r="16" spans="2:42" ht="18.75" x14ac:dyDescent="0.3">
      <c r="B16" s="62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63"/>
      <c r="AA16" s="63"/>
      <c r="AB16" s="63"/>
      <c r="AC16" s="63"/>
      <c r="AD16" s="63"/>
      <c r="AE16" s="63"/>
      <c r="AF16" s="63"/>
      <c r="AG16" s="63"/>
      <c r="AH16" s="62"/>
      <c r="AI16" s="70"/>
      <c r="AJ16" s="229"/>
      <c r="AK16" s="229"/>
      <c r="AL16" s="229"/>
      <c r="AM16" s="229"/>
      <c r="AN16" s="229"/>
      <c r="AO16" s="229"/>
      <c r="AP16" s="229"/>
    </row>
    <row r="17" spans="2:42" ht="18.75" x14ac:dyDescent="0.3">
      <c r="B17" s="62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63"/>
      <c r="AA17" s="63"/>
      <c r="AB17" s="63"/>
      <c r="AC17" s="63"/>
      <c r="AD17" s="63"/>
      <c r="AE17" s="63"/>
      <c r="AF17" s="63"/>
      <c r="AG17" s="63"/>
      <c r="AH17" s="62"/>
      <c r="AI17" s="70"/>
      <c r="AJ17" s="229"/>
      <c r="AK17" s="229"/>
      <c r="AL17" s="229"/>
      <c r="AM17" s="229"/>
      <c r="AN17" s="229"/>
      <c r="AO17" s="229"/>
      <c r="AP17" s="229"/>
    </row>
    <row r="18" spans="2:42" ht="18.75" x14ac:dyDescent="0.3">
      <c r="B18" s="62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63"/>
      <c r="AA18" s="63"/>
      <c r="AB18" s="63"/>
      <c r="AC18" s="63"/>
      <c r="AD18" s="63"/>
      <c r="AE18" s="63"/>
      <c r="AF18" s="63"/>
      <c r="AG18" s="63"/>
      <c r="AH18" s="62"/>
      <c r="AI18" s="70"/>
      <c r="AJ18" s="229"/>
      <c r="AK18" s="229"/>
      <c r="AL18" s="229"/>
      <c r="AM18" s="229"/>
      <c r="AN18" s="229"/>
      <c r="AO18" s="229"/>
      <c r="AP18" s="229"/>
    </row>
    <row r="19" spans="2:42" ht="15.75" customHeight="1" x14ac:dyDescent="0.3">
      <c r="B19" s="62"/>
      <c r="C19" s="231" t="s">
        <v>6</v>
      </c>
      <c r="D19" s="224"/>
      <c r="E19" s="224"/>
      <c r="F19" s="224"/>
      <c r="G19" s="224"/>
      <c r="H19" s="224"/>
      <c r="I19" s="224"/>
      <c r="J19" s="225"/>
      <c r="K19" s="63"/>
      <c r="L19" s="63"/>
      <c r="M19" s="63"/>
      <c r="N19" s="6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63"/>
      <c r="AA19" s="63"/>
      <c r="AB19" s="63"/>
      <c r="AC19" s="63"/>
      <c r="AD19" s="63"/>
      <c r="AE19" s="63"/>
      <c r="AF19" s="63"/>
      <c r="AG19" s="63"/>
      <c r="AH19" s="62"/>
      <c r="AI19" s="70"/>
      <c r="AJ19" s="229"/>
      <c r="AK19" s="229"/>
      <c r="AL19" s="229"/>
      <c r="AM19" s="229"/>
      <c r="AN19" s="229"/>
      <c r="AO19" s="229"/>
      <c r="AP19" s="229"/>
    </row>
    <row r="20" spans="2:42" ht="15.75" customHeight="1" x14ac:dyDescent="0.25">
      <c r="B20" s="226" t="s">
        <v>0</v>
      </c>
      <c r="C20" s="228" t="s">
        <v>89</v>
      </c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5"/>
      <c r="AI20" s="62"/>
      <c r="AJ20" s="229"/>
      <c r="AK20" s="229"/>
      <c r="AL20" s="229"/>
      <c r="AM20" s="229"/>
      <c r="AN20" s="229"/>
      <c r="AO20" s="229"/>
      <c r="AP20" s="229"/>
    </row>
    <row r="21" spans="2:42" ht="15.75" customHeight="1" x14ac:dyDescent="0.25">
      <c r="B21" s="227"/>
      <c r="C21" s="64">
        <v>1</v>
      </c>
      <c r="D21" s="64">
        <v>2</v>
      </c>
      <c r="E21" s="64">
        <v>3</v>
      </c>
      <c r="F21" s="64">
        <v>4</v>
      </c>
      <c r="G21" s="64">
        <v>5</v>
      </c>
      <c r="H21" s="64">
        <v>6</v>
      </c>
      <c r="I21" s="64">
        <v>7</v>
      </c>
      <c r="J21" s="64">
        <v>8</v>
      </c>
      <c r="K21" s="64">
        <v>9</v>
      </c>
      <c r="L21" s="64">
        <v>10</v>
      </c>
      <c r="M21" s="64">
        <v>11</v>
      </c>
      <c r="N21" s="64">
        <v>12</v>
      </c>
      <c r="O21" s="64">
        <v>13</v>
      </c>
      <c r="P21" s="64">
        <v>14</v>
      </c>
      <c r="Q21" s="64">
        <v>15</v>
      </c>
      <c r="R21" s="64">
        <v>16</v>
      </c>
      <c r="S21" s="64">
        <v>17</v>
      </c>
      <c r="T21" s="64">
        <v>18</v>
      </c>
      <c r="U21" s="64">
        <v>19</v>
      </c>
      <c r="V21" s="64">
        <v>20</v>
      </c>
      <c r="W21" s="64">
        <v>21</v>
      </c>
      <c r="X21" s="64">
        <v>22</v>
      </c>
      <c r="Y21" s="64">
        <v>23</v>
      </c>
      <c r="Z21" s="64">
        <v>24</v>
      </c>
      <c r="AA21" s="64">
        <v>25</v>
      </c>
      <c r="AB21" s="64">
        <v>26</v>
      </c>
      <c r="AC21" s="64">
        <v>27</v>
      </c>
      <c r="AD21" s="64">
        <v>28</v>
      </c>
      <c r="AE21" s="64">
        <v>29</v>
      </c>
      <c r="AF21" s="64">
        <v>30</v>
      </c>
      <c r="AG21" s="64">
        <v>31</v>
      </c>
      <c r="AH21" s="65" t="s">
        <v>9</v>
      </c>
      <c r="AI21" s="62"/>
      <c r="AJ21" s="229"/>
      <c r="AK21" s="229"/>
      <c r="AL21" s="229"/>
      <c r="AM21" s="229"/>
      <c r="AN21" s="229"/>
      <c r="AO21" s="229"/>
      <c r="AP21" s="229"/>
    </row>
    <row r="22" spans="2:42" ht="15.75" customHeight="1" x14ac:dyDescent="0.25">
      <c r="B22" s="66" t="s">
        <v>72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7">
        <v>0</v>
      </c>
      <c r="AD22" s="67">
        <v>0</v>
      </c>
      <c r="AE22" s="67">
        <v>0</v>
      </c>
      <c r="AF22" s="67">
        <v>0</v>
      </c>
      <c r="AG22" s="67">
        <v>0</v>
      </c>
      <c r="AH22" s="67">
        <f>SUM(C22:AG22)</f>
        <v>0</v>
      </c>
      <c r="AI22" s="62"/>
      <c r="AJ22" s="229"/>
      <c r="AK22" s="229"/>
      <c r="AL22" s="229"/>
      <c r="AM22" s="229"/>
      <c r="AN22" s="229"/>
      <c r="AO22" s="229"/>
      <c r="AP22" s="229"/>
    </row>
    <row r="23" spans="2:42" ht="15.75" customHeight="1" x14ac:dyDescent="0.25">
      <c r="B23" s="66" t="s">
        <v>67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7">
        <v>0</v>
      </c>
      <c r="AD23" s="67">
        <v>0</v>
      </c>
      <c r="AE23" s="67">
        <v>0</v>
      </c>
      <c r="AF23" s="67">
        <v>0</v>
      </c>
      <c r="AG23" s="67">
        <v>0</v>
      </c>
      <c r="AH23" s="67">
        <f t="shared" ref="AH23:AH30" si="3">SUM(C23:AG23)</f>
        <v>0</v>
      </c>
      <c r="AI23" s="62"/>
      <c r="AJ23" s="229"/>
      <c r="AK23" s="229"/>
      <c r="AL23" s="229"/>
      <c r="AM23" s="229"/>
      <c r="AN23" s="229"/>
      <c r="AO23" s="229"/>
      <c r="AP23" s="229"/>
    </row>
    <row r="24" spans="2:42" ht="15.75" customHeight="1" x14ac:dyDescent="0.25">
      <c r="B24" s="66" t="s">
        <v>68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7">
        <v>0</v>
      </c>
      <c r="O24" s="67">
        <v>0</v>
      </c>
      <c r="P24" s="67">
        <v>0</v>
      </c>
      <c r="Q24" s="67">
        <v>0</v>
      </c>
      <c r="R24" s="67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7">
        <v>0</v>
      </c>
      <c r="AD24" s="67">
        <v>0</v>
      </c>
      <c r="AE24" s="67">
        <v>0</v>
      </c>
      <c r="AF24" s="67">
        <v>0</v>
      </c>
      <c r="AG24" s="67">
        <v>0</v>
      </c>
      <c r="AH24" s="67">
        <f t="shared" si="3"/>
        <v>0</v>
      </c>
      <c r="AI24" s="62"/>
      <c r="AJ24" s="229"/>
      <c r="AK24" s="229"/>
      <c r="AL24" s="229"/>
      <c r="AM24" s="229"/>
      <c r="AN24" s="229"/>
      <c r="AO24" s="229"/>
      <c r="AP24" s="229"/>
    </row>
    <row r="25" spans="2:42" ht="15.75" hidden="1" customHeight="1" x14ac:dyDescent="0.25">
      <c r="B25" s="66" t="s">
        <v>47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7">
        <v>0</v>
      </c>
      <c r="O25" s="67">
        <v>0</v>
      </c>
      <c r="P25" s="67">
        <v>0</v>
      </c>
      <c r="Q25" s="67">
        <v>0</v>
      </c>
      <c r="R25" s="67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7">
        <v>0</v>
      </c>
      <c r="AD25" s="67">
        <v>0</v>
      </c>
      <c r="AE25" s="67">
        <v>0</v>
      </c>
      <c r="AF25" s="67">
        <v>0</v>
      </c>
      <c r="AG25" s="67">
        <v>0</v>
      </c>
      <c r="AH25" s="67">
        <f t="shared" si="3"/>
        <v>0</v>
      </c>
      <c r="AI25" s="62"/>
      <c r="AJ25" s="229"/>
      <c r="AK25" s="229"/>
      <c r="AL25" s="229"/>
      <c r="AM25" s="229"/>
      <c r="AN25" s="229"/>
      <c r="AO25" s="229"/>
      <c r="AP25" s="229"/>
    </row>
    <row r="26" spans="2:42" ht="15.75" customHeight="1" x14ac:dyDescent="0.25">
      <c r="B26" s="66" t="s">
        <v>69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7">
        <v>0</v>
      </c>
      <c r="O26" s="67">
        <v>0</v>
      </c>
      <c r="P26" s="67">
        <v>0</v>
      </c>
      <c r="Q26" s="67">
        <v>0</v>
      </c>
      <c r="R26" s="67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7">
        <v>0</v>
      </c>
      <c r="AD26" s="67">
        <v>0</v>
      </c>
      <c r="AE26" s="67">
        <v>0</v>
      </c>
      <c r="AF26" s="67">
        <v>0</v>
      </c>
      <c r="AG26" s="67">
        <v>0</v>
      </c>
      <c r="AH26" s="67">
        <f>SUM(C26:AG26)</f>
        <v>0</v>
      </c>
      <c r="AI26" s="62"/>
      <c r="AJ26" s="229"/>
      <c r="AK26" s="229"/>
      <c r="AL26" s="229"/>
      <c r="AM26" s="229"/>
      <c r="AN26" s="229"/>
      <c r="AO26" s="229"/>
      <c r="AP26" s="229"/>
    </row>
    <row r="27" spans="2:42" ht="15.75" customHeight="1" x14ac:dyDescent="0.25">
      <c r="B27" s="66" t="s">
        <v>70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7">
        <v>0</v>
      </c>
      <c r="O27" s="67">
        <v>0</v>
      </c>
      <c r="P27" s="67">
        <v>0</v>
      </c>
      <c r="Q27" s="67">
        <v>0</v>
      </c>
      <c r="R27" s="67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7">
        <v>0</v>
      </c>
      <c r="AD27" s="67">
        <v>0</v>
      </c>
      <c r="AE27" s="67">
        <v>0</v>
      </c>
      <c r="AF27" s="67">
        <v>0</v>
      </c>
      <c r="AG27" s="67">
        <v>0</v>
      </c>
      <c r="AH27" s="67">
        <f t="shared" si="3"/>
        <v>0</v>
      </c>
      <c r="AI27" s="62"/>
      <c r="AJ27" s="229"/>
      <c r="AK27" s="229"/>
      <c r="AL27" s="229"/>
      <c r="AM27" s="229"/>
      <c r="AN27" s="229"/>
      <c r="AO27" s="229"/>
      <c r="AP27" s="229"/>
    </row>
    <row r="28" spans="2:42" ht="15.75" customHeight="1" x14ac:dyDescent="0.25">
      <c r="B28" s="66" t="s">
        <v>71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7">
        <v>0</v>
      </c>
      <c r="O28" s="67">
        <v>0</v>
      </c>
      <c r="P28" s="67">
        <v>0</v>
      </c>
      <c r="Q28" s="67">
        <v>0</v>
      </c>
      <c r="R28" s="67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7">
        <v>0</v>
      </c>
      <c r="AD28" s="67">
        <v>0</v>
      </c>
      <c r="AE28" s="67">
        <v>0</v>
      </c>
      <c r="AF28" s="67">
        <v>0</v>
      </c>
      <c r="AG28" s="67">
        <v>0</v>
      </c>
      <c r="AH28" s="67">
        <f t="shared" si="3"/>
        <v>0</v>
      </c>
      <c r="AI28" s="62"/>
      <c r="AJ28" s="229"/>
      <c r="AK28" s="229"/>
      <c r="AL28" s="229"/>
      <c r="AM28" s="229"/>
      <c r="AN28" s="229"/>
      <c r="AO28" s="229"/>
      <c r="AP28" s="229"/>
    </row>
    <row r="29" spans="2:42" ht="15.75" customHeight="1" x14ac:dyDescent="0.25">
      <c r="B29" s="66" t="s">
        <v>75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7">
        <v>0</v>
      </c>
      <c r="O29" s="67">
        <v>0</v>
      </c>
      <c r="P29" s="67">
        <v>0</v>
      </c>
      <c r="Q29" s="67">
        <v>0</v>
      </c>
      <c r="R29" s="67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7">
        <v>0</v>
      </c>
      <c r="AD29" s="67">
        <v>0</v>
      </c>
      <c r="AE29" s="67">
        <v>0</v>
      </c>
      <c r="AF29" s="67">
        <v>0</v>
      </c>
      <c r="AG29" s="67">
        <v>0</v>
      </c>
      <c r="AH29" s="67">
        <f t="shared" si="3"/>
        <v>0</v>
      </c>
      <c r="AI29" s="62"/>
      <c r="AJ29" s="229"/>
      <c r="AK29" s="229"/>
      <c r="AL29" s="229"/>
      <c r="AM29" s="229"/>
      <c r="AN29" s="229"/>
      <c r="AO29" s="229"/>
      <c r="AP29" s="229"/>
    </row>
    <row r="30" spans="2:42" ht="15.75" customHeight="1" x14ac:dyDescent="0.25">
      <c r="B30" s="66"/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7">
        <v>0</v>
      </c>
      <c r="O30" s="67">
        <v>0</v>
      </c>
      <c r="P30" s="67">
        <v>0</v>
      </c>
      <c r="Q30" s="67">
        <v>0</v>
      </c>
      <c r="R30" s="67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7">
        <v>0</v>
      </c>
      <c r="AD30" s="67">
        <v>0</v>
      </c>
      <c r="AE30" s="67">
        <v>0</v>
      </c>
      <c r="AF30" s="67">
        <v>0</v>
      </c>
      <c r="AG30" s="67">
        <v>0</v>
      </c>
      <c r="AH30" s="67">
        <f t="shared" si="3"/>
        <v>0</v>
      </c>
      <c r="AI30" s="62"/>
      <c r="AJ30" s="62"/>
    </row>
    <row r="31" spans="2:42" ht="15.75" customHeight="1" x14ac:dyDescent="0.25">
      <c r="B31" s="69" t="s">
        <v>9</v>
      </c>
      <c r="C31" s="68">
        <f t="shared" ref="C31:AH31" si="4">SUM(C22:C30)</f>
        <v>0</v>
      </c>
      <c r="D31" s="68">
        <f t="shared" si="4"/>
        <v>0</v>
      </c>
      <c r="E31" s="68">
        <f t="shared" si="4"/>
        <v>0</v>
      </c>
      <c r="F31" s="68">
        <f t="shared" si="4"/>
        <v>0</v>
      </c>
      <c r="G31" s="68">
        <f t="shared" si="4"/>
        <v>0</v>
      </c>
      <c r="H31" s="68">
        <f t="shared" si="4"/>
        <v>0</v>
      </c>
      <c r="I31" s="68">
        <f t="shared" si="4"/>
        <v>0</v>
      </c>
      <c r="J31" s="68">
        <f t="shared" si="4"/>
        <v>0</v>
      </c>
      <c r="K31" s="68">
        <f t="shared" si="4"/>
        <v>0</v>
      </c>
      <c r="L31" s="68">
        <f t="shared" si="4"/>
        <v>0</v>
      </c>
      <c r="M31" s="68">
        <f t="shared" si="4"/>
        <v>0</v>
      </c>
      <c r="N31" s="68">
        <f t="shared" si="4"/>
        <v>0</v>
      </c>
      <c r="O31" s="68">
        <f t="shared" si="4"/>
        <v>0</v>
      </c>
      <c r="P31" s="68">
        <f t="shared" si="4"/>
        <v>0</v>
      </c>
      <c r="Q31" s="68">
        <f t="shared" si="4"/>
        <v>0</v>
      </c>
      <c r="R31" s="68">
        <f t="shared" si="4"/>
        <v>0</v>
      </c>
      <c r="S31" s="68">
        <f t="shared" si="4"/>
        <v>0</v>
      </c>
      <c r="T31" s="68">
        <f t="shared" si="4"/>
        <v>0</v>
      </c>
      <c r="U31" s="68">
        <f t="shared" si="4"/>
        <v>0</v>
      </c>
      <c r="V31" s="68">
        <f t="shared" si="4"/>
        <v>0</v>
      </c>
      <c r="W31" s="68">
        <f t="shared" si="4"/>
        <v>0</v>
      </c>
      <c r="X31" s="68">
        <f t="shared" si="4"/>
        <v>0</v>
      </c>
      <c r="Y31" s="68">
        <f t="shared" si="4"/>
        <v>0</v>
      </c>
      <c r="Z31" s="68">
        <f t="shared" si="4"/>
        <v>0</v>
      </c>
      <c r="AA31" s="68">
        <f t="shared" si="4"/>
        <v>0</v>
      </c>
      <c r="AB31" s="68">
        <f t="shared" si="4"/>
        <v>0</v>
      </c>
      <c r="AC31" s="68">
        <f t="shared" si="4"/>
        <v>0</v>
      </c>
      <c r="AD31" s="68">
        <f t="shared" si="4"/>
        <v>0</v>
      </c>
      <c r="AE31" s="68">
        <f t="shared" si="4"/>
        <v>0</v>
      </c>
      <c r="AF31" s="68">
        <f t="shared" si="4"/>
        <v>0</v>
      </c>
      <c r="AG31" s="68">
        <f t="shared" si="4"/>
        <v>0</v>
      </c>
      <c r="AH31" s="68">
        <f t="shared" si="4"/>
        <v>0</v>
      </c>
      <c r="AI31" s="62"/>
      <c r="AJ31" s="62"/>
    </row>
    <row r="32" spans="2:42" ht="15.75" customHeight="1" x14ac:dyDescent="0.25">
      <c r="B32" s="62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2"/>
      <c r="AI32" s="62"/>
      <c r="AJ32" s="62"/>
    </row>
    <row r="33" spans="2:36" ht="15.75" customHeight="1" x14ac:dyDescent="0.25">
      <c r="B33" s="62"/>
      <c r="C33" s="232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2"/>
      <c r="AF33" s="62"/>
      <c r="AG33" s="62"/>
      <c r="AH33" s="62"/>
      <c r="AI33" s="62"/>
      <c r="AJ33" s="62"/>
    </row>
    <row r="34" spans="2:36" ht="15.75" customHeight="1" x14ac:dyDescent="0.25">
      <c r="B34" s="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2:36" ht="15.75" customHeight="1" x14ac:dyDescent="0.25"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2:36" ht="15.75" customHeight="1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2:36" ht="15.75" customHeight="1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2:36" ht="15.75" customHeight="1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2:36" ht="15.75" customHeight="1" x14ac:dyDescent="0.25">
      <c r="B39" s="13"/>
      <c r="C39" s="230"/>
      <c r="D39" s="220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2:36" ht="15.75" customHeight="1" x14ac:dyDescent="0.25">
      <c r="B40" s="14"/>
      <c r="C40" s="230"/>
      <c r="D40" s="22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2:36" ht="15.75" customHeight="1" x14ac:dyDescent="0.25">
      <c r="B41" s="14"/>
      <c r="C41" s="230"/>
      <c r="D41" s="220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2:36" ht="15.75" customHeight="1" x14ac:dyDescent="0.25">
      <c r="B42" s="14"/>
      <c r="C42" s="230"/>
      <c r="D42" s="220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2:36" ht="15.75" customHeight="1" x14ac:dyDescent="0.25">
      <c r="B43" s="14"/>
      <c r="C43" s="230"/>
      <c r="D43" s="220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2:36" ht="15.75" customHeight="1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2:36" ht="15.75" customHeight="1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2:36" ht="15.75" customHeight="1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2:36" ht="15.75" customHeight="1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2:36" ht="15.75" customHeight="1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3:33" ht="15.75" customHeight="1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3:33" ht="15.75" customHeight="1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3:33" ht="15.75" customHeight="1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3:33" ht="15.75" customHeight="1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3:33" ht="15.75" customHeight="1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3:33" ht="15.75" customHeight="1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3:33" ht="15.75" customHeight="1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3:33" ht="15.75" customHeight="1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3:33" ht="15.75" customHeight="1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3:33" ht="15.75" customHeight="1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3:33" ht="15.75" customHeight="1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3:33" ht="15.75" customHeight="1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3:33" ht="15.75" customHeight="1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3:33" ht="15.75" customHeight="1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3:33" ht="15.75" customHeight="1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3:33" ht="15.75" customHeight="1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3:33" ht="15.75" customHeight="1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3:33" ht="15.75" customHeight="1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3:33" ht="15.75" customHeight="1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3:33" ht="15.75" customHeight="1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3:33" ht="15.75" customHeight="1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3:33" ht="15.75" customHeight="1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3:33" ht="15.75" customHeight="1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3:33" ht="15.75" customHeight="1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3:33" ht="15.75" customHeight="1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3:33" ht="15.75" customHeight="1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3:33" ht="15.75" customHeight="1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3:33" ht="15.75" customHeight="1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3:33" ht="15.75" customHeight="1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3:33" ht="15.75" customHeight="1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3:33" ht="15.75" customHeight="1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3:33" ht="15.75" customHeight="1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3:33" ht="15.75" customHeight="1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3:33" ht="15.75" customHeight="1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3:33" ht="15.75" customHeight="1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3:33" ht="15.75" customHeight="1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3:33" ht="15.75" customHeight="1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3:33" ht="15.75" customHeight="1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3:33" ht="15.75" customHeight="1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3:33" ht="15.75" customHeight="1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3:33" ht="15.75" customHeight="1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3:33" ht="15.75" customHeight="1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3:33" ht="15.75" customHeight="1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3:33" ht="15.75" customHeight="1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3:33" ht="15.75" customHeight="1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3:33" ht="15.75" customHeight="1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3:33" ht="15.75" customHeight="1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3:33" ht="15.75" customHeight="1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3:33" ht="15.75" customHeight="1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3:33" ht="15.75" customHeight="1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3:33" ht="15.75" customHeight="1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3:33" ht="15.75" customHeight="1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3:33" ht="15.75" customHeight="1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3:33" ht="15.75" customHeight="1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3:33" ht="15.75" customHeight="1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3:33" ht="15.75" customHeight="1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3:33" ht="15.75" customHeight="1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3:33" ht="15.75" customHeight="1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3:33" ht="15.75" customHeight="1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3:33" ht="15.75" customHeight="1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3:33" ht="15.75" customHeight="1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3:33" ht="15.75" customHeight="1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3:33" ht="15.75" customHeight="1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3:33" ht="15.75" customHeight="1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3:33" ht="15.75" customHeight="1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3:33" ht="15.75" customHeight="1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3:33" ht="15.75" customHeight="1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3:33" ht="15.75" customHeight="1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3:33" ht="15.75" customHeight="1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3:33" ht="15.75" customHeight="1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3:33" ht="15.75" customHeight="1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3:33" ht="15.75" customHeight="1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3:33" ht="15.75" customHeight="1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3:33" ht="15.75" customHeight="1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3:33" ht="15.75" customHeight="1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3:33" ht="15.75" customHeight="1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3:33" ht="15.75" customHeight="1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3:33" ht="15.75" customHeight="1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3:33" ht="15.75" customHeight="1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3:33" ht="15.75" customHeight="1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3:33" ht="15.75" customHeight="1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3:33" ht="15.75" customHeight="1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3:33" ht="15.75" customHeight="1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3:33" ht="15.75" customHeight="1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3:33" ht="15.75" customHeight="1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3:33" ht="15.75" customHeight="1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3:33" ht="15.75" customHeight="1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3:33" ht="15.75" customHeight="1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3:33" ht="15.75" customHeight="1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3:33" ht="15.75" customHeight="1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3:33" ht="15.75" customHeight="1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3:33" ht="15.75" customHeight="1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3:33" ht="15.75" customHeight="1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3:33" ht="15.75" customHeight="1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3:33" ht="15.75" customHeight="1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3:33" ht="15.75" customHeight="1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3:33" ht="15.75" customHeight="1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3:33" ht="15.75" customHeight="1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3:33" ht="15.75" customHeight="1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3:33" ht="15.75" customHeight="1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3:33" ht="15.75" customHeight="1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3:33" ht="15.75" customHeight="1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3:33" ht="15.75" customHeight="1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3:33" ht="15.75" customHeight="1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3:33" ht="15.75" customHeight="1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3:33" ht="15.75" customHeight="1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3:33" ht="15.75" customHeight="1" x14ac:dyDescent="0.2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3:33" ht="15.75" customHeight="1" x14ac:dyDescent="0.2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3:33" ht="15.75" customHeight="1" x14ac:dyDescent="0.2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3:33" ht="15.75" customHeight="1" x14ac:dyDescent="0.2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3:33" ht="15.75" customHeight="1" x14ac:dyDescent="0.2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3:33" ht="15.75" customHeight="1" x14ac:dyDescent="0.2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3:33" ht="15.75" customHeight="1" x14ac:dyDescent="0.2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3:33" ht="15.75" customHeight="1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3:33" ht="15.75" customHeight="1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3:33" ht="15.75" customHeight="1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3:33" ht="15.75" customHeight="1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3:33" ht="15.75" customHeight="1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3:33" ht="15.75" customHeight="1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3:33" ht="15.75" customHeight="1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3:33" ht="15.75" customHeight="1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3:33" ht="15.75" customHeight="1" x14ac:dyDescent="0.2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3:33" ht="15.75" customHeight="1" x14ac:dyDescent="0.2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3:33" ht="15.75" customHeight="1" x14ac:dyDescent="0.2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3:33" ht="15.75" customHeight="1" x14ac:dyDescent="0.2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3:33" ht="15.75" customHeight="1" x14ac:dyDescent="0.2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3:33" ht="15.75" customHeight="1" x14ac:dyDescent="0.2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3:33" ht="15.75" customHeight="1" x14ac:dyDescent="0.2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3:33" ht="15.75" customHeight="1" x14ac:dyDescent="0.2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3:33" ht="15.75" customHeight="1" x14ac:dyDescent="0.2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3:33" ht="15.75" customHeight="1" x14ac:dyDescent="0.2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3:33" ht="15.75" customHeight="1" x14ac:dyDescent="0.2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3:33" ht="15.75" customHeight="1" x14ac:dyDescent="0.2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3:33" ht="15.75" customHeight="1" x14ac:dyDescent="0.2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3:33" ht="15.75" customHeight="1" x14ac:dyDescent="0.2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3:33" ht="15.75" customHeight="1" x14ac:dyDescent="0.2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3:33" ht="15.75" customHeight="1" x14ac:dyDescent="0.2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3:33" ht="15.75" customHeight="1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3:33" ht="15.75" customHeight="1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3:33" ht="15.75" customHeight="1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3:33" ht="15.75" customHeight="1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3:33" ht="15.75" customHeight="1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3:33" ht="15.75" customHeight="1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3:33" ht="15.75" customHeight="1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3:33" ht="15.75" customHeight="1" x14ac:dyDescent="0.2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3:33" ht="15.75" customHeight="1" x14ac:dyDescent="0.2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3:33" ht="15.75" customHeight="1" x14ac:dyDescent="0.2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3:33" ht="15.75" customHeight="1" x14ac:dyDescent="0.2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3:33" ht="15.75" customHeight="1" x14ac:dyDescent="0.2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3:33" ht="15.75" customHeight="1" x14ac:dyDescent="0.2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3:33" ht="15.75" customHeight="1" x14ac:dyDescent="0.2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3:33" ht="15.75" customHeight="1" x14ac:dyDescent="0.2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3:33" ht="15.75" customHeight="1" x14ac:dyDescent="0.2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3:33" ht="15.75" customHeight="1" x14ac:dyDescent="0.2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3:33" ht="15.75" customHeight="1" x14ac:dyDescent="0.2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3:33" ht="15.75" customHeight="1" x14ac:dyDescent="0.2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3:33" ht="15.75" customHeight="1" x14ac:dyDescent="0.2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3:33" ht="15.75" customHeight="1" x14ac:dyDescent="0.2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3:33" ht="15.75" customHeight="1" x14ac:dyDescent="0.2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3:33" ht="15.75" customHeight="1" x14ac:dyDescent="0.2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3:33" ht="15.75" customHeight="1" x14ac:dyDescent="0.2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3:33" ht="15.75" customHeight="1" x14ac:dyDescent="0.2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3:33" ht="15.75" customHeight="1" x14ac:dyDescent="0.2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3:33" ht="15.75" customHeight="1" x14ac:dyDescent="0.2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3:33" ht="15.75" customHeight="1" x14ac:dyDescent="0.2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3:33" ht="15.75" customHeight="1" x14ac:dyDescent="0.2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3:33" ht="15.75" customHeight="1" x14ac:dyDescent="0.2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3:33" ht="15.75" customHeight="1" x14ac:dyDescent="0.2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3:33" ht="15.75" customHeight="1" x14ac:dyDescent="0.2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3:33" ht="15.75" customHeight="1" x14ac:dyDescent="0.2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3:33" ht="15.75" customHeight="1" x14ac:dyDescent="0.25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3:33" ht="15.75" customHeight="1" x14ac:dyDescent="0.25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3:33" ht="15.75" customHeight="1" x14ac:dyDescent="0.25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3:33" ht="15.75" customHeight="1" x14ac:dyDescent="0.25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3:33" ht="15.75" customHeight="1" x14ac:dyDescent="0.25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3:33" ht="15.75" customHeight="1" x14ac:dyDescent="0.2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3:33" ht="15.75" customHeight="1" x14ac:dyDescent="0.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3:33" ht="15.75" customHeight="1" x14ac:dyDescent="0.2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3:33" ht="15.75" customHeight="1" x14ac:dyDescent="0.2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3:33" ht="15.75" customHeight="1" x14ac:dyDescent="0.2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3:33" ht="15.75" customHeight="1" x14ac:dyDescent="0.25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3:33" ht="15.75" customHeight="1" x14ac:dyDescent="0.25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3:33" ht="15.75" customHeight="1" x14ac:dyDescent="0.25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3:33" ht="15.75" customHeight="1" x14ac:dyDescent="0.25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3:33" ht="15.75" customHeight="1" x14ac:dyDescent="0.25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3:33" ht="15.75" customHeight="1" x14ac:dyDescent="0.25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3:33" ht="15.75" customHeight="1" x14ac:dyDescent="0.2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3:33" ht="15.75" customHeight="1" x14ac:dyDescent="0.2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3:33" ht="15.75" customHeight="1" x14ac:dyDescent="0.25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3:33" ht="15.75" customHeight="1" x14ac:dyDescent="0.25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3:33" ht="15.75" customHeight="1" x14ac:dyDescent="0.2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3:33" ht="15.75" customHeight="1" x14ac:dyDescent="0.25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3:33" ht="15.75" customHeight="1" x14ac:dyDescent="0.25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3:33" ht="15.75" customHeight="1" x14ac:dyDescent="0.25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3:33" ht="15.75" customHeight="1" x14ac:dyDescent="0.25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3:33" ht="15.75" customHeight="1" x14ac:dyDescent="0.25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3:33" ht="15.75" customHeight="1" x14ac:dyDescent="0.2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3:33" ht="15.75" customHeight="1" x14ac:dyDescent="0.25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3:33" ht="15.75" customHeight="1" x14ac:dyDescent="0.25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3:33" ht="15.75" customHeight="1" x14ac:dyDescent="0.25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3:33" ht="15.75" customHeight="1" x14ac:dyDescent="0.25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3:33" ht="15.75" customHeight="1" x14ac:dyDescent="0.25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3:33" ht="15.75" customHeight="1" x14ac:dyDescent="0.25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3:33" ht="15.75" customHeight="1" x14ac:dyDescent="0.25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3:33" ht="15.75" customHeight="1" x14ac:dyDescent="0.25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3:33" ht="15.75" customHeight="1" x14ac:dyDescent="0.25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3:33" ht="15.75" customHeight="1" x14ac:dyDescent="0.2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3:33" ht="15.75" customHeight="1" x14ac:dyDescent="0.25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3:33" ht="15.75" customHeight="1" x14ac:dyDescent="0.25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3:33" ht="15.75" customHeight="1" x14ac:dyDescent="0.2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3:33" ht="15.75" customHeight="1" x14ac:dyDescent="0.25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3:33" ht="15.75" customHeight="1" x14ac:dyDescent="0.25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3:33" ht="15.75" customHeight="1" x14ac:dyDescent="0.25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3:33" ht="15.75" customHeight="1" x14ac:dyDescent="0.25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3:33" ht="15.75" customHeight="1" x14ac:dyDescent="0.25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3:33" ht="15.75" customHeight="1" x14ac:dyDescent="0.25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3:33" ht="15.75" customHeight="1" x14ac:dyDescent="0.2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3:33" ht="15.75" customHeight="1" x14ac:dyDescent="0.25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3:33" ht="15.75" customHeight="1" x14ac:dyDescent="0.25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3:33" ht="15.75" customHeight="1" x14ac:dyDescent="0.25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3:33" ht="15.75" customHeight="1" x14ac:dyDescent="0.25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3:33" ht="15.75" customHeight="1" x14ac:dyDescent="0.25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3:33" ht="15.75" customHeight="1" x14ac:dyDescent="0.25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3:33" ht="15.75" customHeight="1" x14ac:dyDescent="0.25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3:33" ht="15.75" customHeight="1" x14ac:dyDescent="0.25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3:33" ht="15.75" customHeight="1" x14ac:dyDescent="0.2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3:33" ht="15.75" customHeight="1" x14ac:dyDescent="0.2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3:33" ht="15.75" customHeight="1" x14ac:dyDescent="0.2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3:33" ht="15.75" customHeight="1" x14ac:dyDescent="0.2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3:33" ht="15.75" customHeight="1" x14ac:dyDescent="0.2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3:33" ht="15.75" customHeight="1" x14ac:dyDescent="0.2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3:33" ht="15.75" customHeight="1" x14ac:dyDescent="0.2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3:33" ht="15.75" customHeight="1" x14ac:dyDescent="0.2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3:33" ht="15.75" customHeight="1" x14ac:dyDescent="0.2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3:33" ht="15.75" customHeight="1" x14ac:dyDescent="0.2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3:33" ht="15.75" customHeight="1" x14ac:dyDescent="0.2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3:33" ht="15.75" customHeight="1" x14ac:dyDescent="0.2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3:33" ht="15.75" customHeight="1" x14ac:dyDescent="0.2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3:33" ht="15.75" customHeight="1" x14ac:dyDescent="0.2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3:33" ht="15.75" customHeight="1" x14ac:dyDescent="0.2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3:33" ht="15.75" customHeight="1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3:33" ht="15.75" customHeight="1" x14ac:dyDescent="0.2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3:33" ht="15.75" customHeight="1" x14ac:dyDescent="0.2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3:33" ht="15.75" customHeight="1" x14ac:dyDescent="0.25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3:33" ht="15.75" customHeight="1" x14ac:dyDescent="0.25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3:33" ht="15.75" customHeight="1" x14ac:dyDescent="0.25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3:33" ht="15.75" customHeight="1" x14ac:dyDescent="0.2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3:33" ht="15.75" customHeight="1" x14ac:dyDescent="0.25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3:33" ht="15.75" customHeight="1" x14ac:dyDescent="0.25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3:33" ht="15.75" customHeight="1" x14ac:dyDescent="0.2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3:33" ht="15.75" customHeight="1" x14ac:dyDescent="0.2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3:33" ht="15.75" customHeight="1" x14ac:dyDescent="0.2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3:33" ht="15.75" customHeight="1" x14ac:dyDescent="0.25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3:33" ht="15.75" customHeight="1" x14ac:dyDescent="0.25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3:33" ht="15.75" customHeight="1" x14ac:dyDescent="0.25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3:33" ht="15.75" customHeight="1" x14ac:dyDescent="0.25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3:33" ht="15.75" customHeight="1" x14ac:dyDescent="0.2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3:33" ht="15.75" customHeight="1" x14ac:dyDescent="0.25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3:33" ht="15.75" customHeight="1" x14ac:dyDescent="0.25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3:33" ht="15.75" customHeight="1" x14ac:dyDescent="0.25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3:33" ht="15.75" customHeight="1" x14ac:dyDescent="0.25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3:33" ht="15.75" customHeight="1" x14ac:dyDescent="0.25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3:33" ht="15.75" customHeight="1" x14ac:dyDescent="0.25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3:33" ht="15.75" customHeight="1" x14ac:dyDescent="0.25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3:33" ht="15.75" customHeight="1" x14ac:dyDescent="0.25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3:33" ht="15.75" customHeight="1" x14ac:dyDescent="0.25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3:33" ht="15.75" customHeight="1" x14ac:dyDescent="0.2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3:33" ht="15.75" customHeight="1" x14ac:dyDescent="0.25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3:33" ht="15.75" customHeight="1" x14ac:dyDescent="0.25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3:33" ht="15.75" customHeight="1" x14ac:dyDescent="0.25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3:33" ht="15.75" customHeight="1" x14ac:dyDescent="0.25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3:33" ht="15.75" customHeight="1" x14ac:dyDescent="0.25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3:33" ht="15.75" customHeight="1" x14ac:dyDescent="0.25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3:33" ht="15.75" customHeight="1" x14ac:dyDescent="0.25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3:33" ht="15.75" customHeight="1" x14ac:dyDescent="0.25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3:33" ht="15.75" customHeight="1" x14ac:dyDescent="0.25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3:33" ht="15.75" customHeight="1" x14ac:dyDescent="0.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3:33" ht="15.75" customHeight="1" x14ac:dyDescent="0.25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3:33" ht="15.75" customHeight="1" x14ac:dyDescent="0.25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3:33" ht="15.75" customHeight="1" x14ac:dyDescent="0.25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3:33" ht="15.75" customHeight="1" x14ac:dyDescent="0.25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3:33" ht="15.75" customHeight="1" x14ac:dyDescent="0.25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3:33" ht="15.75" customHeight="1" x14ac:dyDescent="0.25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3:33" ht="15.75" customHeight="1" x14ac:dyDescent="0.25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3:33" ht="15.75" customHeight="1" x14ac:dyDescent="0.25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3:33" ht="15.75" customHeight="1" x14ac:dyDescent="0.25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3:33" ht="15.75" customHeight="1" x14ac:dyDescent="0.2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3:33" ht="15.75" customHeight="1" x14ac:dyDescent="0.25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3:33" ht="15.75" customHeight="1" x14ac:dyDescent="0.25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3:33" ht="15.75" customHeight="1" x14ac:dyDescent="0.25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3:33" ht="15.75" customHeight="1" x14ac:dyDescent="0.25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3:33" ht="15.75" customHeight="1" x14ac:dyDescent="0.25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3:33" ht="15.75" customHeight="1" x14ac:dyDescent="0.25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3:33" ht="15.75" customHeight="1" x14ac:dyDescent="0.25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3:33" ht="15.75" customHeight="1" x14ac:dyDescent="0.25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3:33" ht="15.75" customHeight="1" x14ac:dyDescent="0.25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3:33" ht="15.75" customHeight="1" x14ac:dyDescent="0.2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3:33" ht="15.75" customHeight="1" x14ac:dyDescent="0.25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3:33" ht="15.75" customHeight="1" x14ac:dyDescent="0.25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3:33" ht="15.75" customHeight="1" x14ac:dyDescent="0.25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3:33" ht="15.75" customHeight="1" x14ac:dyDescent="0.25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3:33" ht="15.75" customHeight="1" x14ac:dyDescent="0.25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3:33" ht="15.75" customHeight="1" x14ac:dyDescent="0.25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3:33" ht="15.75" customHeight="1" x14ac:dyDescent="0.25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3:33" ht="15.75" customHeight="1" x14ac:dyDescent="0.25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3:33" ht="15.75" customHeight="1" x14ac:dyDescent="0.25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3:33" ht="15.75" customHeight="1" x14ac:dyDescent="0.2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3:33" ht="15.75" customHeight="1" x14ac:dyDescent="0.25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3:33" ht="15.75" customHeight="1" x14ac:dyDescent="0.25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3:33" ht="15.75" customHeight="1" x14ac:dyDescent="0.25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3:33" ht="15.75" customHeight="1" x14ac:dyDescent="0.25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3:33" ht="15.75" customHeight="1" x14ac:dyDescent="0.25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3:33" ht="15.75" customHeight="1" x14ac:dyDescent="0.25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3:33" ht="15.75" customHeight="1" x14ac:dyDescent="0.25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3:33" ht="15.75" customHeight="1" x14ac:dyDescent="0.25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3:33" ht="15.75" customHeight="1" x14ac:dyDescent="0.25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3:33" ht="15.75" customHeight="1" x14ac:dyDescent="0.2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3:33" ht="15.75" customHeight="1" x14ac:dyDescent="0.25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3:33" ht="15.75" customHeight="1" x14ac:dyDescent="0.25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3:33" ht="15.75" customHeight="1" x14ac:dyDescent="0.25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3:33" ht="15.75" customHeight="1" x14ac:dyDescent="0.25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3:33" ht="15.75" customHeight="1" x14ac:dyDescent="0.25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3:33" ht="15.75" customHeight="1" x14ac:dyDescent="0.25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3:33" ht="15.75" customHeight="1" x14ac:dyDescent="0.25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3:33" ht="15.75" customHeight="1" x14ac:dyDescent="0.25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3:33" ht="15.75" customHeight="1" x14ac:dyDescent="0.25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3:33" ht="15.75" customHeight="1" x14ac:dyDescent="0.2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3:33" ht="15.75" customHeight="1" x14ac:dyDescent="0.25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3:33" ht="15.75" customHeight="1" x14ac:dyDescent="0.25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3:33" ht="15.75" customHeight="1" x14ac:dyDescent="0.25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3:33" ht="15.75" customHeight="1" x14ac:dyDescent="0.25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3:33" ht="15.75" customHeight="1" x14ac:dyDescent="0.25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3:33" ht="15.75" customHeight="1" x14ac:dyDescent="0.25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3:33" ht="15.75" customHeight="1" x14ac:dyDescent="0.25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3:33" ht="15.75" customHeight="1" x14ac:dyDescent="0.25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3:33" ht="15.75" customHeight="1" x14ac:dyDescent="0.25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3:33" ht="15.75" customHeight="1" x14ac:dyDescent="0.2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3:33" ht="15.75" customHeight="1" x14ac:dyDescent="0.25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3:33" ht="15.75" customHeight="1" x14ac:dyDescent="0.25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3:33" ht="15.75" customHeight="1" x14ac:dyDescent="0.25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3:33" ht="15.75" customHeight="1" x14ac:dyDescent="0.25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3:33" ht="15.75" customHeight="1" x14ac:dyDescent="0.25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3:33" ht="15.75" customHeight="1" x14ac:dyDescent="0.25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3:33" ht="15.75" customHeight="1" x14ac:dyDescent="0.25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3:33" ht="15.75" customHeight="1" x14ac:dyDescent="0.25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3:33" ht="15.75" customHeight="1" x14ac:dyDescent="0.25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3:33" ht="15.75" customHeight="1" x14ac:dyDescent="0.2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3:33" ht="15.75" customHeight="1" x14ac:dyDescent="0.25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3:33" ht="15.75" customHeight="1" x14ac:dyDescent="0.25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3:33" ht="15.75" customHeight="1" x14ac:dyDescent="0.25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3:33" ht="15.75" customHeight="1" x14ac:dyDescent="0.25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3:33" ht="15.75" customHeight="1" x14ac:dyDescent="0.25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3:33" ht="15.75" customHeight="1" x14ac:dyDescent="0.25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3:33" ht="15.75" customHeight="1" x14ac:dyDescent="0.25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3:33" ht="15.75" customHeight="1" x14ac:dyDescent="0.25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3:33" ht="15.75" customHeight="1" x14ac:dyDescent="0.25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3:33" ht="15.75" customHeight="1" x14ac:dyDescent="0.2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3:33" ht="15.75" customHeight="1" x14ac:dyDescent="0.25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3:33" ht="15.75" customHeight="1" x14ac:dyDescent="0.25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3:33" ht="15.75" customHeight="1" x14ac:dyDescent="0.25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3:33" ht="15.75" customHeight="1" x14ac:dyDescent="0.25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3:33" ht="15.75" customHeight="1" x14ac:dyDescent="0.25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3:33" ht="15.75" customHeight="1" x14ac:dyDescent="0.25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3:33" ht="15.75" customHeight="1" x14ac:dyDescent="0.25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3:33" ht="15.75" customHeight="1" x14ac:dyDescent="0.25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3:33" ht="15.75" customHeight="1" x14ac:dyDescent="0.25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3:33" ht="15.75" customHeight="1" x14ac:dyDescent="0.2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3:33" ht="15.75" customHeight="1" x14ac:dyDescent="0.25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3:33" ht="15.75" customHeight="1" x14ac:dyDescent="0.25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3:33" ht="15.75" customHeight="1" x14ac:dyDescent="0.25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3:33" ht="15.75" customHeight="1" x14ac:dyDescent="0.25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3:33" ht="15.75" customHeight="1" x14ac:dyDescent="0.25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3:33" ht="15.75" customHeight="1" x14ac:dyDescent="0.25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3:33" ht="15.75" customHeight="1" x14ac:dyDescent="0.25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3:33" ht="15.75" customHeight="1" x14ac:dyDescent="0.25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3:33" ht="15.75" customHeight="1" x14ac:dyDescent="0.25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3:33" ht="15.75" customHeight="1" x14ac:dyDescent="0.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3:33" ht="15.75" customHeight="1" x14ac:dyDescent="0.25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3:33" ht="15.75" customHeight="1" x14ac:dyDescent="0.25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3:33" ht="15.75" customHeight="1" x14ac:dyDescent="0.25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3:33" ht="15.75" customHeight="1" x14ac:dyDescent="0.25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3:33" ht="15.75" customHeight="1" x14ac:dyDescent="0.25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3:33" ht="15.75" customHeight="1" x14ac:dyDescent="0.25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3:33" ht="15.75" customHeight="1" x14ac:dyDescent="0.25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3:33" ht="15.75" customHeight="1" x14ac:dyDescent="0.25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3:33" ht="15.75" customHeight="1" x14ac:dyDescent="0.25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3:33" ht="15.75" customHeight="1" x14ac:dyDescent="0.2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3:33" ht="15.75" customHeight="1" x14ac:dyDescent="0.25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3:33" ht="15.75" customHeight="1" x14ac:dyDescent="0.25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3:33" ht="15.75" customHeight="1" x14ac:dyDescent="0.25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3:33" ht="15.75" customHeight="1" x14ac:dyDescent="0.25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3:33" ht="15.75" customHeight="1" x14ac:dyDescent="0.25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3:33" ht="15.75" customHeight="1" x14ac:dyDescent="0.25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3:33" ht="15.75" customHeight="1" x14ac:dyDescent="0.25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3:33" ht="15.75" customHeight="1" x14ac:dyDescent="0.25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3:33" ht="15.75" customHeight="1" x14ac:dyDescent="0.25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3:33" ht="15.75" customHeight="1" x14ac:dyDescent="0.2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3:33" ht="15.75" customHeight="1" x14ac:dyDescent="0.25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3:33" ht="15.75" customHeight="1" x14ac:dyDescent="0.25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3:33" ht="15.75" customHeight="1" x14ac:dyDescent="0.25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3:33" ht="15.75" customHeight="1" x14ac:dyDescent="0.25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3:33" ht="15.75" customHeight="1" x14ac:dyDescent="0.25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3:33" ht="15.75" customHeight="1" x14ac:dyDescent="0.25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3:33" ht="15.75" customHeight="1" x14ac:dyDescent="0.25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3:33" ht="15.75" customHeight="1" x14ac:dyDescent="0.25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3:33" ht="15.75" customHeight="1" x14ac:dyDescent="0.25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3:33" ht="15.75" customHeight="1" x14ac:dyDescent="0.2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3:33" ht="15.75" customHeight="1" x14ac:dyDescent="0.25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3:33" ht="15.75" customHeight="1" x14ac:dyDescent="0.25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3:33" ht="15.75" customHeight="1" x14ac:dyDescent="0.25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3:33" ht="15.75" customHeight="1" x14ac:dyDescent="0.25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3:33" ht="15.75" customHeight="1" x14ac:dyDescent="0.25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3:33" ht="15.75" customHeight="1" x14ac:dyDescent="0.25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3:33" ht="15.75" customHeight="1" x14ac:dyDescent="0.25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3:33" ht="15.75" customHeight="1" x14ac:dyDescent="0.25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3:33" ht="15.75" customHeight="1" x14ac:dyDescent="0.25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3:33" ht="15.75" customHeight="1" x14ac:dyDescent="0.2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3:33" ht="15.75" customHeight="1" x14ac:dyDescent="0.25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3:33" ht="15.75" customHeight="1" x14ac:dyDescent="0.25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3:33" ht="15.75" customHeight="1" x14ac:dyDescent="0.25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3:33" ht="15.75" customHeight="1" x14ac:dyDescent="0.25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3:33" ht="15.75" customHeight="1" x14ac:dyDescent="0.25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3:33" ht="15.75" customHeight="1" x14ac:dyDescent="0.25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3:33" ht="15.75" customHeight="1" x14ac:dyDescent="0.25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3:33" ht="15.75" customHeight="1" x14ac:dyDescent="0.25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3:33" ht="15.75" customHeight="1" x14ac:dyDescent="0.25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3:33" ht="15.75" customHeight="1" x14ac:dyDescent="0.2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3:33" ht="15.75" customHeight="1" x14ac:dyDescent="0.25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3:33" ht="15.75" customHeight="1" x14ac:dyDescent="0.25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3:33" ht="15.75" customHeight="1" x14ac:dyDescent="0.25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3:33" ht="15.75" customHeight="1" x14ac:dyDescent="0.25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3:33" ht="15.75" customHeight="1" x14ac:dyDescent="0.25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3:33" ht="15.75" customHeight="1" x14ac:dyDescent="0.25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3:33" ht="15.75" customHeight="1" x14ac:dyDescent="0.25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3:33" ht="15.75" customHeight="1" x14ac:dyDescent="0.25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3:33" ht="15.75" customHeight="1" x14ac:dyDescent="0.25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3:33" ht="15.75" customHeight="1" x14ac:dyDescent="0.2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3:33" ht="15.75" customHeight="1" x14ac:dyDescent="0.25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3:33" ht="15.75" customHeight="1" x14ac:dyDescent="0.25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3:33" ht="15.75" customHeight="1" x14ac:dyDescent="0.25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3:33" ht="15.75" customHeight="1" x14ac:dyDescent="0.25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3:33" ht="15.75" customHeight="1" x14ac:dyDescent="0.25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3:33" ht="15.75" customHeight="1" x14ac:dyDescent="0.25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3:33" ht="15.75" customHeight="1" x14ac:dyDescent="0.25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3:33" ht="15.75" customHeight="1" x14ac:dyDescent="0.25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3:33" ht="15.75" customHeight="1" x14ac:dyDescent="0.25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3:33" ht="15.75" customHeight="1" x14ac:dyDescent="0.2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3:33" ht="15.75" customHeight="1" x14ac:dyDescent="0.25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3:33" ht="15.75" customHeight="1" x14ac:dyDescent="0.25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3:33" ht="15.75" customHeight="1" x14ac:dyDescent="0.25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3:33" ht="15.75" customHeight="1" x14ac:dyDescent="0.25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3:33" ht="15.75" customHeight="1" x14ac:dyDescent="0.25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3:33" ht="15.75" customHeight="1" x14ac:dyDescent="0.25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3:33" ht="15.75" customHeight="1" x14ac:dyDescent="0.25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3:33" ht="15.75" customHeight="1" x14ac:dyDescent="0.25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3:33" ht="15.75" customHeight="1" x14ac:dyDescent="0.25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3:33" ht="15.75" customHeight="1" x14ac:dyDescent="0.2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3:33" ht="15.75" customHeight="1" x14ac:dyDescent="0.25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3:33" ht="15.75" customHeight="1" x14ac:dyDescent="0.25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3:33" ht="15.75" customHeight="1" x14ac:dyDescent="0.25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3:33" ht="15.75" customHeight="1" x14ac:dyDescent="0.25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3:33" ht="15.75" customHeight="1" x14ac:dyDescent="0.25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3:33" ht="15.75" customHeight="1" x14ac:dyDescent="0.25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3:33" ht="15.75" customHeight="1" x14ac:dyDescent="0.25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3:33" ht="15.75" customHeight="1" x14ac:dyDescent="0.25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3:33" ht="15.75" customHeight="1" x14ac:dyDescent="0.25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3:33" ht="15.75" customHeight="1" x14ac:dyDescent="0.2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3:33" ht="15.75" customHeight="1" x14ac:dyDescent="0.25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3:33" ht="15.75" customHeight="1" x14ac:dyDescent="0.25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3:33" ht="15.75" customHeight="1" x14ac:dyDescent="0.25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3:33" ht="15.75" customHeight="1" x14ac:dyDescent="0.25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3:33" ht="15.75" customHeight="1" x14ac:dyDescent="0.25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3:33" ht="15.75" customHeight="1" x14ac:dyDescent="0.25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3:33" ht="15.75" customHeight="1" x14ac:dyDescent="0.25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3:33" ht="15.75" customHeight="1" x14ac:dyDescent="0.25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3:33" ht="15.75" customHeight="1" x14ac:dyDescent="0.25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3:33" ht="15.75" customHeight="1" x14ac:dyDescent="0.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3:33" ht="15.75" customHeight="1" x14ac:dyDescent="0.25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3:33" ht="15.75" customHeight="1" x14ac:dyDescent="0.25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3:33" ht="15.75" customHeight="1" x14ac:dyDescent="0.25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3:33" ht="15.75" customHeight="1" x14ac:dyDescent="0.25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3:33" ht="15.75" customHeight="1" x14ac:dyDescent="0.25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3:33" ht="15.75" customHeight="1" x14ac:dyDescent="0.25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3:33" ht="15.75" customHeight="1" x14ac:dyDescent="0.25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3:33" ht="15.75" customHeight="1" x14ac:dyDescent="0.25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3:33" ht="15.75" customHeight="1" x14ac:dyDescent="0.25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3:33" ht="15.75" customHeight="1" x14ac:dyDescent="0.2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3:33" ht="15.75" customHeight="1" x14ac:dyDescent="0.25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3:33" ht="15.75" customHeight="1" x14ac:dyDescent="0.25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3:33" ht="15.75" customHeight="1" x14ac:dyDescent="0.25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3:33" ht="15.75" customHeight="1" x14ac:dyDescent="0.25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3:33" ht="15.75" customHeight="1" x14ac:dyDescent="0.25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3:33" ht="15.75" customHeight="1" x14ac:dyDescent="0.25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3:33" ht="15.75" customHeight="1" x14ac:dyDescent="0.25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3:33" ht="15.75" customHeight="1" x14ac:dyDescent="0.25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3:33" ht="15.75" customHeight="1" x14ac:dyDescent="0.25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3:33" ht="15.75" customHeight="1" x14ac:dyDescent="0.2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3:33" ht="15.75" customHeight="1" x14ac:dyDescent="0.25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3:33" ht="15.75" customHeight="1" x14ac:dyDescent="0.25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3:33" ht="15.75" customHeight="1" x14ac:dyDescent="0.25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3:33" ht="15.75" customHeight="1" x14ac:dyDescent="0.25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3:33" ht="15.75" customHeight="1" x14ac:dyDescent="0.25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3:33" ht="15.75" customHeight="1" x14ac:dyDescent="0.25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3:33" ht="15.75" customHeight="1" x14ac:dyDescent="0.25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3:33" ht="15.75" customHeight="1" x14ac:dyDescent="0.25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3:33" ht="15.75" customHeight="1" x14ac:dyDescent="0.25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3:33" ht="15.75" customHeight="1" x14ac:dyDescent="0.2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3:33" ht="15.75" customHeight="1" x14ac:dyDescent="0.25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3:33" ht="15.75" customHeight="1" x14ac:dyDescent="0.25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3:33" ht="15.75" customHeight="1" x14ac:dyDescent="0.25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3:33" ht="15.75" customHeight="1" x14ac:dyDescent="0.25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3:33" ht="15.75" customHeight="1" x14ac:dyDescent="0.25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3:33" ht="15.75" customHeight="1" x14ac:dyDescent="0.25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3:33" ht="15.75" customHeight="1" x14ac:dyDescent="0.25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3:33" ht="15.75" customHeight="1" x14ac:dyDescent="0.25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3:33" ht="15.75" customHeight="1" x14ac:dyDescent="0.25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3:33" ht="15.75" customHeight="1" x14ac:dyDescent="0.2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3:33" ht="15.75" customHeight="1" x14ac:dyDescent="0.25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3:33" ht="15.75" customHeight="1" x14ac:dyDescent="0.25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3:33" ht="15.75" customHeight="1" x14ac:dyDescent="0.25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3:33" ht="15.75" customHeight="1" x14ac:dyDescent="0.25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3:33" ht="15.75" customHeight="1" x14ac:dyDescent="0.25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3:33" ht="15.75" customHeight="1" x14ac:dyDescent="0.25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3:33" ht="15.75" customHeight="1" x14ac:dyDescent="0.25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3:33" ht="15.75" customHeight="1" x14ac:dyDescent="0.25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3:33" ht="15.75" customHeight="1" x14ac:dyDescent="0.25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3:33" ht="15.75" customHeight="1" x14ac:dyDescent="0.2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3:33" ht="15.75" customHeight="1" x14ac:dyDescent="0.25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3:33" ht="15.75" customHeight="1" x14ac:dyDescent="0.25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3:33" ht="15.75" customHeight="1" x14ac:dyDescent="0.25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3:33" ht="15.75" customHeight="1" x14ac:dyDescent="0.25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3:33" ht="15.75" customHeight="1" x14ac:dyDescent="0.25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3:33" ht="15.75" customHeight="1" x14ac:dyDescent="0.25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3:33" ht="15.75" customHeight="1" x14ac:dyDescent="0.25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3:33" ht="15.75" customHeight="1" x14ac:dyDescent="0.25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3:33" ht="15.75" customHeight="1" x14ac:dyDescent="0.25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3:33" ht="15.75" customHeight="1" x14ac:dyDescent="0.2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3:33" ht="15.75" customHeight="1" x14ac:dyDescent="0.25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3:33" ht="15.75" customHeight="1" x14ac:dyDescent="0.25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3:33" ht="15.75" customHeight="1" x14ac:dyDescent="0.25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3:33" ht="15.75" customHeight="1" x14ac:dyDescent="0.25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3:33" ht="15.75" customHeight="1" x14ac:dyDescent="0.25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3:33" ht="15.75" customHeight="1" x14ac:dyDescent="0.25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3:33" ht="15.75" customHeight="1" x14ac:dyDescent="0.25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3:33" ht="15.75" customHeight="1" x14ac:dyDescent="0.25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3:33" ht="15.75" customHeight="1" x14ac:dyDescent="0.25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3:33" ht="15.75" customHeight="1" x14ac:dyDescent="0.2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3:33" ht="15.75" customHeight="1" x14ac:dyDescent="0.25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3:33" ht="15.75" customHeight="1" x14ac:dyDescent="0.25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3:33" ht="15.75" customHeight="1" x14ac:dyDescent="0.25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3:33" ht="15.75" customHeight="1" x14ac:dyDescent="0.25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3:33" ht="15.75" customHeight="1" x14ac:dyDescent="0.25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3:33" ht="15.75" customHeight="1" x14ac:dyDescent="0.25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3:33" ht="15.75" customHeight="1" x14ac:dyDescent="0.25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3:33" ht="15.75" customHeight="1" x14ac:dyDescent="0.25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3:33" ht="15.75" customHeight="1" x14ac:dyDescent="0.25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3:33" ht="15.75" customHeight="1" x14ac:dyDescent="0.2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3:33" ht="15.75" customHeight="1" x14ac:dyDescent="0.25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3:33" ht="15.75" customHeight="1" x14ac:dyDescent="0.25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3:33" ht="15.75" customHeight="1" x14ac:dyDescent="0.25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3:33" ht="15.75" customHeight="1" x14ac:dyDescent="0.25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3:33" ht="15.75" customHeight="1" x14ac:dyDescent="0.25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3:33" ht="15.75" customHeight="1" x14ac:dyDescent="0.25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3:33" ht="15.75" customHeight="1" x14ac:dyDescent="0.25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3:33" ht="15.75" customHeight="1" x14ac:dyDescent="0.2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3:33" ht="15.75" customHeight="1" x14ac:dyDescent="0.2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3:33" ht="15.75" customHeight="1" x14ac:dyDescent="0.2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3:33" ht="15.75" customHeight="1" x14ac:dyDescent="0.2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3:33" ht="15.75" customHeight="1" x14ac:dyDescent="0.2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3:33" ht="15.75" customHeight="1" x14ac:dyDescent="0.2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3:33" ht="15.75" customHeight="1" x14ac:dyDescent="0.2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3:33" ht="15.75" customHeight="1" x14ac:dyDescent="0.25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3:33" ht="15.75" customHeight="1" x14ac:dyDescent="0.25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3:33" ht="15.75" customHeight="1" x14ac:dyDescent="0.25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3:33" ht="15.75" customHeight="1" x14ac:dyDescent="0.25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3:33" ht="15.75" customHeight="1" x14ac:dyDescent="0.2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3:33" ht="15.75" customHeight="1" x14ac:dyDescent="0.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3:33" ht="15.75" customHeight="1" x14ac:dyDescent="0.2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3:33" ht="15.75" customHeight="1" x14ac:dyDescent="0.2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3:33" ht="15.75" customHeight="1" x14ac:dyDescent="0.2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3:33" ht="15.75" customHeight="1" x14ac:dyDescent="0.2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3:33" ht="15.75" customHeight="1" x14ac:dyDescent="0.2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3:33" ht="15.75" customHeight="1" x14ac:dyDescent="0.2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3:33" ht="15.75" customHeight="1" x14ac:dyDescent="0.25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3:33" ht="15.75" customHeight="1" x14ac:dyDescent="0.25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3:33" ht="15.75" customHeight="1" x14ac:dyDescent="0.25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3:33" ht="15.75" customHeight="1" x14ac:dyDescent="0.2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3:33" ht="15.75" customHeight="1" x14ac:dyDescent="0.25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3:33" ht="15.75" customHeight="1" x14ac:dyDescent="0.25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3:33" ht="15.75" customHeight="1" x14ac:dyDescent="0.25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3:33" ht="15.75" customHeight="1" x14ac:dyDescent="0.25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3:33" ht="15.75" customHeight="1" x14ac:dyDescent="0.25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3:33" ht="15.75" customHeight="1" x14ac:dyDescent="0.25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3:33" ht="15.75" customHeight="1" x14ac:dyDescent="0.25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3:33" ht="15.75" customHeight="1" x14ac:dyDescent="0.25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3:33" ht="15.75" customHeight="1" x14ac:dyDescent="0.25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3:33" ht="15.75" customHeight="1" x14ac:dyDescent="0.2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3:33" ht="15.75" customHeight="1" x14ac:dyDescent="0.25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3:33" ht="15.75" customHeight="1" x14ac:dyDescent="0.25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3:33" ht="15.75" customHeight="1" x14ac:dyDescent="0.25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3:33" ht="15.75" customHeight="1" x14ac:dyDescent="0.25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3:33" ht="15.75" customHeight="1" x14ac:dyDescent="0.25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3:33" ht="15.75" customHeight="1" x14ac:dyDescent="0.25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3:33" ht="15.75" customHeight="1" x14ac:dyDescent="0.25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3:33" ht="15.75" customHeight="1" x14ac:dyDescent="0.25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3:33" ht="15.75" customHeight="1" x14ac:dyDescent="0.25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3:33" ht="15.75" customHeight="1" x14ac:dyDescent="0.2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3:33" ht="15.75" customHeight="1" x14ac:dyDescent="0.25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3:33" ht="15.75" customHeight="1" x14ac:dyDescent="0.25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3:33" ht="15.75" customHeight="1" x14ac:dyDescent="0.25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3:33" ht="15.75" customHeight="1" x14ac:dyDescent="0.25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3:33" ht="15.75" customHeight="1" x14ac:dyDescent="0.25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3:33" ht="15.75" customHeight="1" x14ac:dyDescent="0.25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3:33" ht="15.75" customHeight="1" x14ac:dyDescent="0.25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3:33" ht="15.75" customHeight="1" x14ac:dyDescent="0.25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3:33" ht="15.75" customHeight="1" x14ac:dyDescent="0.25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3:33" ht="15.75" customHeight="1" x14ac:dyDescent="0.2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3:33" ht="15.75" customHeight="1" x14ac:dyDescent="0.25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3:33" ht="15.75" customHeight="1" x14ac:dyDescent="0.25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3:33" ht="15.75" customHeight="1" x14ac:dyDescent="0.25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3:33" ht="15.75" customHeight="1" x14ac:dyDescent="0.25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3:33" ht="15.75" customHeight="1" x14ac:dyDescent="0.25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3:33" ht="15.75" customHeight="1" x14ac:dyDescent="0.25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3:33" ht="15.75" customHeight="1" x14ac:dyDescent="0.25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3:33" ht="15.75" customHeight="1" x14ac:dyDescent="0.25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3:33" ht="15.75" customHeight="1" x14ac:dyDescent="0.25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3:33" ht="15.75" customHeight="1" x14ac:dyDescent="0.2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3:33" ht="15.75" customHeight="1" x14ac:dyDescent="0.25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3:33" ht="15.75" customHeight="1" x14ac:dyDescent="0.25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3:33" ht="15.75" customHeight="1" x14ac:dyDescent="0.25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3:33" ht="15.75" customHeight="1" x14ac:dyDescent="0.25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3:33" ht="15.75" customHeight="1" x14ac:dyDescent="0.25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3:33" ht="15.75" customHeight="1" x14ac:dyDescent="0.25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3:33" ht="15.75" customHeight="1" x14ac:dyDescent="0.25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3:33" ht="15.75" customHeight="1" x14ac:dyDescent="0.25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3:33" ht="15.75" customHeight="1" x14ac:dyDescent="0.25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3:33" ht="15.75" customHeight="1" x14ac:dyDescent="0.2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3:33" ht="15.75" customHeight="1" x14ac:dyDescent="0.25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3:33" ht="15.75" customHeight="1" x14ac:dyDescent="0.25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3:33" ht="15.75" customHeight="1" x14ac:dyDescent="0.25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3:33" ht="15.75" customHeight="1" x14ac:dyDescent="0.25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3:33" ht="15.75" customHeight="1" x14ac:dyDescent="0.25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3:33" ht="15.75" customHeight="1" x14ac:dyDescent="0.25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3:33" ht="15.75" customHeight="1" x14ac:dyDescent="0.25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3:33" ht="15.75" customHeight="1" x14ac:dyDescent="0.25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3:33" ht="15.75" customHeight="1" x14ac:dyDescent="0.25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3:33" ht="15.75" customHeight="1" x14ac:dyDescent="0.2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3:33" ht="15.75" customHeight="1" x14ac:dyDescent="0.25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3:33" ht="15.75" customHeight="1" x14ac:dyDescent="0.25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3:33" ht="15.75" customHeight="1" x14ac:dyDescent="0.25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3:33" ht="15.75" customHeight="1" x14ac:dyDescent="0.25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3:33" ht="15.75" customHeight="1" x14ac:dyDescent="0.25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3:33" ht="15.75" customHeight="1" x14ac:dyDescent="0.25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3:33" ht="15.75" customHeight="1" x14ac:dyDescent="0.25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3:33" ht="15.75" customHeight="1" x14ac:dyDescent="0.25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3:33" ht="15.75" customHeight="1" x14ac:dyDescent="0.25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3:33" ht="15.75" customHeight="1" x14ac:dyDescent="0.2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3:33" ht="15.75" customHeight="1" x14ac:dyDescent="0.25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3:33" ht="15.75" customHeight="1" x14ac:dyDescent="0.25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3:33" ht="15.75" customHeight="1" x14ac:dyDescent="0.25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3:33" ht="15.75" customHeight="1" x14ac:dyDescent="0.25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3:33" ht="15.75" customHeight="1" x14ac:dyDescent="0.25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3:33" ht="15.75" customHeight="1" x14ac:dyDescent="0.25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3:33" ht="15.75" customHeight="1" x14ac:dyDescent="0.25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3:33" ht="15.75" customHeight="1" x14ac:dyDescent="0.25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3:33" ht="15.75" customHeight="1" x14ac:dyDescent="0.25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3:33" ht="15.75" customHeight="1" x14ac:dyDescent="0.2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3:33" ht="15.75" customHeight="1" x14ac:dyDescent="0.25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3:33" ht="15.75" customHeight="1" x14ac:dyDescent="0.25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3:33" ht="15.75" customHeight="1" x14ac:dyDescent="0.25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3:33" ht="15.75" customHeight="1" x14ac:dyDescent="0.25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3:33" ht="15.75" customHeight="1" x14ac:dyDescent="0.25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3:33" ht="15.75" customHeight="1" x14ac:dyDescent="0.25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3:33" ht="15.75" customHeight="1" x14ac:dyDescent="0.25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3:33" ht="15.75" customHeight="1" x14ac:dyDescent="0.25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3:33" ht="15.75" customHeight="1" x14ac:dyDescent="0.25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3:33" ht="15.75" customHeight="1" x14ac:dyDescent="0.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3:33" ht="15.75" customHeight="1" x14ac:dyDescent="0.25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3:33" ht="15.75" customHeight="1" x14ac:dyDescent="0.25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3:33" ht="15.75" customHeight="1" x14ac:dyDescent="0.25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3:33" ht="15.75" customHeight="1" x14ac:dyDescent="0.25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3:33" ht="15.75" customHeight="1" x14ac:dyDescent="0.25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3:33" ht="15.75" customHeight="1" x14ac:dyDescent="0.25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3:33" ht="15.75" customHeight="1" x14ac:dyDescent="0.25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3:33" ht="15.75" customHeight="1" x14ac:dyDescent="0.25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3:33" ht="15.75" customHeight="1" x14ac:dyDescent="0.25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3:33" ht="15.75" customHeight="1" x14ac:dyDescent="0.2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3:33" ht="15.75" customHeight="1" x14ac:dyDescent="0.25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3:33" ht="15.75" customHeight="1" x14ac:dyDescent="0.25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3:33" ht="15.75" customHeight="1" x14ac:dyDescent="0.25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3:33" ht="15.75" customHeight="1" x14ac:dyDescent="0.25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3:33" ht="15.75" customHeight="1" x14ac:dyDescent="0.25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3:33" ht="15.75" customHeight="1" x14ac:dyDescent="0.25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3:33" ht="15.75" customHeight="1" x14ac:dyDescent="0.25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3:33" ht="15.75" customHeight="1" x14ac:dyDescent="0.25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3:33" ht="15.75" customHeight="1" x14ac:dyDescent="0.25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3:33" ht="15.75" customHeight="1" x14ac:dyDescent="0.2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3:33" ht="15.75" customHeight="1" x14ac:dyDescent="0.25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3:33" ht="15.75" customHeight="1" x14ac:dyDescent="0.25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3:33" ht="15.75" customHeight="1" x14ac:dyDescent="0.25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3:33" ht="15.75" customHeight="1" x14ac:dyDescent="0.25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3:33" ht="15.75" customHeight="1" x14ac:dyDescent="0.25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3:33" ht="15.75" customHeight="1" x14ac:dyDescent="0.25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3:33" ht="15.75" customHeight="1" x14ac:dyDescent="0.25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3:33" ht="15.75" customHeight="1" x14ac:dyDescent="0.25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3:33" ht="15.75" customHeight="1" x14ac:dyDescent="0.25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3:33" ht="15.75" customHeight="1" x14ac:dyDescent="0.2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3:33" ht="15.75" customHeight="1" x14ac:dyDescent="0.25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3:33" ht="15.75" customHeight="1" x14ac:dyDescent="0.25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3:33" ht="15.75" customHeight="1" x14ac:dyDescent="0.25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3:33" ht="15.75" customHeight="1" x14ac:dyDescent="0.25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3:33" ht="15.75" customHeight="1" x14ac:dyDescent="0.25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3:33" ht="15.75" customHeight="1" x14ac:dyDescent="0.25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3:33" ht="15.75" customHeight="1" x14ac:dyDescent="0.25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3:33" ht="15.75" customHeight="1" x14ac:dyDescent="0.25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3:33" ht="15.75" customHeight="1" x14ac:dyDescent="0.25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3:33" ht="15.75" customHeight="1" x14ac:dyDescent="0.2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3:33" ht="15.75" customHeight="1" x14ac:dyDescent="0.25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3:33" ht="15.75" customHeight="1" x14ac:dyDescent="0.25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3:33" ht="15.75" customHeight="1" x14ac:dyDescent="0.25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3:33" ht="15.75" customHeight="1" x14ac:dyDescent="0.25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3:33" ht="15.75" customHeight="1" x14ac:dyDescent="0.25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3:33" ht="15.75" customHeight="1" x14ac:dyDescent="0.25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3:33" ht="15.75" customHeight="1" x14ac:dyDescent="0.25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3:33" ht="15.75" customHeight="1" x14ac:dyDescent="0.25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3:33" ht="15.75" customHeight="1" x14ac:dyDescent="0.25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3:33" ht="15.75" customHeight="1" x14ac:dyDescent="0.2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3:33" ht="15.75" customHeight="1" x14ac:dyDescent="0.25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3:33" ht="15.75" customHeight="1" x14ac:dyDescent="0.25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3:33" ht="15.75" customHeight="1" x14ac:dyDescent="0.25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3:33" ht="15.75" customHeight="1" x14ac:dyDescent="0.25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3:33" ht="15.75" customHeight="1" x14ac:dyDescent="0.25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3:33" ht="15.75" customHeight="1" x14ac:dyDescent="0.25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3:33" ht="15.75" customHeight="1" x14ac:dyDescent="0.25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3:33" ht="15.75" customHeight="1" x14ac:dyDescent="0.25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3:33" ht="15.75" customHeight="1" x14ac:dyDescent="0.25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3:33" ht="15.75" customHeight="1" x14ac:dyDescent="0.2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3:33" ht="15.75" customHeight="1" x14ac:dyDescent="0.25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3:33" ht="15.75" customHeight="1" x14ac:dyDescent="0.25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3:33" ht="15.75" customHeight="1" x14ac:dyDescent="0.25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3:33" ht="15.75" customHeight="1" x14ac:dyDescent="0.25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3:33" ht="15.75" customHeight="1" x14ac:dyDescent="0.25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3:33" ht="15.75" customHeight="1" x14ac:dyDescent="0.25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3:33" ht="15.75" customHeight="1" x14ac:dyDescent="0.25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3:33" ht="15.75" customHeight="1" x14ac:dyDescent="0.25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3:33" ht="15.75" customHeight="1" x14ac:dyDescent="0.25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3:33" ht="15.75" customHeight="1" x14ac:dyDescent="0.2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3:33" ht="15.75" customHeight="1" x14ac:dyDescent="0.25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3:33" ht="15.75" customHeight="1" x14ac:dyDescent="0.25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3:33" ht="15.75" customHeight="1" x14ac:dyDescent="0.25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3:33" ht="15.75" customHeight="1" x14ac:dyDescent="0.25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3:33" ht="15.75" customHeight="1" x14ac:dyDescent="0.25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3:33" ht="15.75" customHeight="1" x14ac:dyDescent="0.25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3:33" ht="15.75" customHeight="1" x14ac:dyDescent="0.25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3:33" ht="15.75" customHeight="1" x14ac:dyDescent="0.25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3:33" ht="15.75" customHeight="1" x14ac:dyDescent="0.25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3:33" ht="15.75" customHeight="1" x14ac:dyDescent="0.2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3:33" ht="15.75" customHeight="1" x14ac:dyDescent="0.25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3:33" ht="15.75" customHeight="1" x14ac:dyDescent="0.25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3:33" ht="15.75" customHeight="1" x14ac:dyDescent="0.25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3:33" ht="15.75" customHeight="1" x14ac:dyDescent="0.25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3:33" ht="15.75" customHeight="1" x14ac:dyDescent="0.25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3:33" ht="15.75" customHeight="1" x14ac:dyDescent="0.25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3:33" ht="15.75" customHeight="1" x14ac:dyDescent="0.25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3:33" ht="15.75" customHeight="1" x14ac:dyDescent="0.25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3:33" ht="15.75" customHeight="1" x14ac:dyDescent="0.25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3:33" ht="15.75" customHeight="1" x14ac:dyDescent="0.2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3:33" ht="15.75" customHeight="1" x14ac:dyDescent="0.25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3:33" ht="15.75" customHeight="1" x14ac:dyDescent="0.25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3:33" ht="15.75" customHeight="1" x14ac:dyDescent="0.25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3:33" ht="15.75" customHeight="1" x14ac:dyDescent="0.25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3:33" ht="15.75" customHeight="1" x14ac:dyDescent="0.25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3:33" ht="15.75" customHeight="1" x14ac:dyDescent="0.25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3:33" ht="15.75" customHeight="1" x14ac:dyDescent="0.25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3:33" ht="15.75" customHeight="1" x14ac:dyDescent="0.25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3:33" ht="15.75" customHeight="1" x14ac:dyDescent="0.25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3:33" ht="15.75" customHeight="1" x14ac:dyDescent="0.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3:33" ht="15.75" customHeight="1" x14ac:dyDescent="0.25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3:33" ht="15.75" customHeight="1" x14ac:dyDescent="0.25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3:33" ht="15.75" customHeight="1" x14ac:dyDescent="0.25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3:33" ht="15.75" customHeight="1" x14ac:dyDescent="0.25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3:33" ht="15.75" customHeight="1" x14ac:dyDescent="0.25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3:33" ht="15.75" customHeight="1" x14ac:dyDescent="0.25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3:33" ht="15.75" customHeight="1" x14ac:dyDescent="0.25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3:33" ht="15.75" customHeight="1" x14ac:dyDescent="0.25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3:33" ht="15.75" customHeight="1" x14ac:dyDescent="0.25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3:33" ht="15.75" customHeight="1" x14ac:dyDescent="0.2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3:33" ht="15.75" customHeight="1" x14ac:dyDescent="0.25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3:33" ht="15.75" customHeight="1" x14ac:dyDescent="0.25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3:33" ht="15.75" customHeight="1" x14ac:dyDescent="0.25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3:33" ht="15.75" customHeight="1" x14ac:dyDescent="0.25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3:33" ht="15.75" customHeight="1" x14ac:dyDescent="0.25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3:33" ht="15.75" customHeight="1" x14ac:dyDescent="0.25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3:33" ht="15.75" customHeight="1" x14ac:dyDescent="0.25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3:33" ht="15.75" customHeight="1" x14ac:dyDescent="0.25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3:33" ht="15.75" customHeight="1" x14ac:dyDescent="0.25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3:33" ht="15.75" customHeight="1" x14ac:dyDescent="0.2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3:33" ht="15.75" customHeight="1" x14ac:dyDescent="0.25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3:33" ht="15.75" customHeight="1" x14ac:dyDescent="0.25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3:33" ht="15.75" customHeight="1" x14ac:dyDescent="0.25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3:33" ht="15.75" customHeight="1" x14ac:dyDescent="0.25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3:33" ht="15.75" customHeight="1" x14ac:dyDescent="0.25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3:33" ht="15.75" customHeight="1" x14ac:dyDescent="0.25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3:33" ht="15.75" customHeight="1" x14ac:dyDescent="0.25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3:33" ht="15.75" customHeight="1" x14ac:dyDescent="0.25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3:33" ht="15.75" customHeight="1" x14ac:dyDescent="0.25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3:33" ht="15.75" customHeight="1" x14ac:dyDescent="0.2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3:33" ht="15.75" customHeight="1" x14ac:dyDescent="0.25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3:33" ht="15.75" customHeight="1" x14ac:dyDescent="0.25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3:33" ht="15.75" customHeight="1" x14ac:dyDescent="0.25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3:33" ht="15.75" customHeight="1" x14ac:dyDescent="0.25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3:33" ht="15.75" customHeight="1" x14ac:dyDescent="0.25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3:33" ht="15.75" customHeight="1" x14ac:dyDescent="0.25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3:33" ht="15.75" customHeight="1" x14ac:dyDescent="0.25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3:33" ht="15.75" customHeight="1" x14ac:dyDescent="0.25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3:33" ht="15.75" customHeight="1" x14ac:dyDescent="0.25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3:33" ht="15.75" customHeight="1" x14ac:dyDescent="0.2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3:33" ht="15.75" customHeight="1" x14ac:dyDescent="0.25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3:33" ht="15.75" customHeight="1" x14ac:dyDescent="0.25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3:33" ht="15.75" customHeight="1" x14ac:dyDescent="0.25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3:33" ht="15.75" customHeight="1" x14ac:dyDescent="0.25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3:33" ht="15.75" customHeight="1" x14ac:dyDescent="0.25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3:33" ht="15.75" customHeight="1" x14ac:dyDescent="0.25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3:33" ht="15.75" customHeight="1" x14ac:dyDescent="0.25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3:33" ht="15.75" customHeight="1" x14ac:dyDescent="0.25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3:33" ht="15.75" customHeight="1" x14ac:dyDescent="0.25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3:33" ht="15.75" customHeight="1" x14ac:dyDescent="0.2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3:33" ht="15.75" customHeight="1" x14ac:dyDescent="0.25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3:33" ht="15.75" customHeight="1" x14ac:dyDescent="0.25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3:33" ht="15.75" customHeight="1" x14ac:dyDescent="0.25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3:33" ht="15.75" customHeight="1" x14ac:dyDescent="0.25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3:33" ht="15.75" customHeight="1" x14ac:dyDescent="0.25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3:33" ht="15.75" customHeight="1" x14ac:dyDescent="0.25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3:33" ht="15.75" customHeight="1" x14ac:dyDescent="0.25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3:33" ht="15.75" customHeight="1" x14ac:dyDescent="0.25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3:33" ht="15.75" customHeight="1" x14ac:dyDescent="0.25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3:33" ht="15.75" customHeight="1" x14ac:dyDescent="0.2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3:33" ht="15.75" customHeight="1" x14ac:dyDescent="0.25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3:33" ht="15.75" customHeight="1" x14ac:dyDescent="0.25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3:33" ht="15.75" customHeight="1" x14ac:dyDescent="0.25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3:33" ht="15.75" customHeight="1" x14ac:dyDescent="0.25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3:33" ht="15.75" customHeight="1" x14ac:dyDescent="0.25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3:33" ht="15.75" customHeight="1" x14ac:dyDescent="0.25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3:33" ht="15.75" customHeight="1" x14ac:dyDescent="0.25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3:33" ht="15.75" customHeight="1" x14ac:dyDescent="0.25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3:33" ht="15.75" customHeight="1" x14ac:dyDescent="0.25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3:33" ht="15.75" customHeight="1" x14ac:dyDescent="0.2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3:33" ht="15.75" customHeight="1" x14ac:dyDescent="0.25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3:33" ht="15.75" customHeight="1" x14ac:dyDescent="0.25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3:33" ht="15.75" customHeight="1" x14ac:dyDescent="0.25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3:33" ht="15.75" customHeight="1" x14ac:dyDescent="0.25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3:33" ht="15.75" customHeight="1" x14ac:dyDescent="0.25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3:33" ht="15.75" customHeight="1" x14ac:dyDescent="0.25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3:33" ht="15.75" customHeight="1" x14ac:dyDescent="0.25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3:33" ht="15.75" customHeight="1" x14ac:dyDescent="0.25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3:33" ht="15.75" customHeight="1" x14ac:dyDescent="0.25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3:33" ht="15.75" customHeight="1" x14ac:dyDescent="0.2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3:33" ht="15.75" customHeight="1" x14ac:dyDescent="0.25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3:33" ht="15.75" customHeight="1" x14ac:dyDescent="0.25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3:33" ht="15.75" customHeight="1" x14ac:dyDescent="0.25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3:33" ht="15.75" customHeight="1" x14ac:dyDescent="0.25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3:33" ht="15.75" customHeight="1" x14ac:dyDescent="0.25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3:33" ht="15.75" customHeight="1" x14ac:dyDescent="0.25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3:33" ht="15.75" customHeight="1" x14ac:dyDescent="0.25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3:33" ht="15.75" customHeight="1" x14ac:dyDescent="0.25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3:33" ht="15.75" customHeight="1" x14ac:dyDescent="0.25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3:33" ht="15.75" customHeight="1" x14ac:dyDescent="0.2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3:33" ht="15.75" customHeight="1" x14ac:dyDescent="0.25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3:33" ht="15.75" customHeight="1" x14ac:dyDescent="0.25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3:33" ht="15.75" customHeight="1" x14ac:dyDescent="0.25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3:33" ht="15.75" customHeight="1" x14ac:dyDescent="0.25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3:33" ht="15.75" customHeight="1" x14ac:dyDescent="0.25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3:33" ht="15.75" customHeight="1" x14ac:dyDescent="0.25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3:33" ht="15.75" customHeight="1" x14ac:dyDescent="0.25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3:33" ht="15.75" customHeight="1" x14ac:dyDescent="0.25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3:33" ht="15.75" customHeight="1" x14ac:dyDescent="0.25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3:33" ht="15.75" customHeight="1" x14ac:dyDescent="0.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3:33" ht="15.75" customHeight="1" x14ac:dyDescent="0.25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3:33" ht="15.75" customHeight="1" x14ac:dyDescent="0.25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3:33" ht="15.75" customHeight="1" x14ac:dyDescent="0.25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3:33" ht="15.75" customHeight="1" x14ac:dyDescent="0.25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3:33" ht="15.75" customHeight="1" x14ac:dyDescent="0.25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3:33" ht="15.75" customHeight="1" x14ac:dyDescent="0.25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3:33" ht="15.75" customHeight="1" x14ac:dyDescent="0.25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3:33" ht="15.75" customHeight="1" x14ac:dyDescent="0.25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3:33" ht="15.75" customHeight="1" x14ac:dyDescent="0.25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3:33" ht="15.75" customHeight="1" x14ac:dyDescent="0.2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3:33" ht="15.75" customHeight="1" x14ac:dyDescent="0.25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3:33" ht="15.75" customHeight="1" x14ac:dyDescent="0.25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3:33" ht="15.75" customHeight="1" x14ac:dyDescent="0.25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3:33" ht="15.75" customHeight="1" x14ac:dyDescent="0.25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3:33" ht="15.75" customHeight="1" x14ac:dyDescent="0.25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3:33" ht="15.75" customHeight="1" x14ac:dyDescent="0.25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3:33" ht="15.75" customHeight="1" x14ac:dyDescent="0.25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3:33" ht="15.75" customHeight="1" x14ac:dyDescent="0.25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3:33" ht="15.75" customHeight="1" x14ac:dyDescent="0.25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3:33" ht="15.75" customHeight="1" x14ac:dyDescent="0.2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3:33" ht="15.75" customHeight="1" x14ac:dyDescent="0.25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3:33" ht="15.75" customHeight="1" x14ac:dyDescent="0.25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3:33" ht="15.75" customHeight="1" x14ac:dyDescent="0.25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3:33" ht="15.75" customHeight="1" x14ac:dyDescent="0.25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3:33" ht="15.75" customHeight="1" x14ac:dyDescent="0.25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3:33" ht="15.75" customHeight="1" x14ac:dyDescent="0.25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3:33" ht="15.75" customHeight="1" x14ac:dyDescent="0.25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3:33" ht="15.75" customHeight="1" x14ac:dyDescent="0.25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3:33" ht="15.75" customHeight="1" x14ac:dyDescent="0.25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3:33" ht="15.75" customHeight="1" x14ac:dyDescent="0.2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3:33" ht="15.75" customHeight="1" x14ac:dyDescent="0.25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3:33" ht="15.75" customHeight="1" x14ac:dyDescent="0.25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3:33" ht="15.75" customHeight="1" x14ac:dyDescent="0.25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3:33" ht="15.75" customHeight="1" x14ac:dyDescent="0.25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3:33" ht="15.75" customHeight="1" x14ac:dyDescent="0.25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3:33" ht="15.75" customHeight="1" x14ac:dyDescent="0.25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3:33" ht="15.75" customHeight="1" x14ac:dyDescent="0.25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3:33" ht="15.75" customHeight="1" x14ac:dyDescent="0.25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3:33" ht="15.75" customHeight="1" x14ac:dyDescent="0.25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3:33" ht="15.75" customHeight="1" x14ac:dyDescent="0.2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3:33" ht="15.75" customHeight="1" x14ac:dyDescent="0.25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3:33" ht="15.75" customHeight="1" x14ac:dyDescent="0.25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3:33" ht="15.75" customHeight="1" x14ac:dyDescent="0.25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3:33" ht="15.75" customHeight="1" x14ac:dyDescent="0.25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3:33" ht="15.75" customHeight="1" x14ac:dyDescent="0.25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3:33" ht="15.75" customHeight="1" x14ac:dyDescent="0.25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3:33" ht="15.75" customHeight="1" x14ac:dyDescent="0.25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3:33" ht="15.75" customHeight="1" x14ac:dyDescent="0.25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3:33" ht="15.75" customHeight="1" x14ac:dyDescent="0.25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3:33" ht="15.75" customHeight="1" x14ac:dyDescent="0.2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3:33" ht="15.75" customHeight="1" x14ac:dyDescent="0.25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3:33" ht="15.75" customHeight="1" x14ac:dyDescent="0.25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3:33" ht="15.75" customHeight="1" x14ac:dyDescent="0.25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3:33" ht="15.75" customHeight="1" x14ac:dyDescent="0.25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3:33" ht="15.75" customHeight="1" x14ac:dyDescent="0.25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3:33" ht="15.75" customHeight="1" x14ac:dyDescent="0.25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3:33" ht="15.75" customHeight="1" x14ac:dyDescent="0.25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3:33" ht="15.75" customHeight="1" x14ac:dyDescent="0.25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3:33" ht="15.75" customHeight="1" x14ac:dyDescent="0.25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3:33" ht="15.75" customHeight="1" x14ac:dyDescent="0.2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3:33" ht="15.75" customHeight="1" x14ac:dyDescent="0.25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3:33" ht="15.75" customHeight="1" x14ac:dyDescent="0.25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3:33" ht="15.75" customHeight="1" x14ac:dyDescent="0.25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3:33" ht="15.75" customHeight="1" x14ac:dyDescent="0.25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3:33" ht="15.75" customHeight="1" x14ac:dyDescent="0.25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3:33" ht="15.75" customHeight="1" x14ac:dyDescent="0.25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3:33" ht="15.75" customHeight="1" x14ac:dyDescent="0.25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3:33" ht="15.75" customHeight="1" x14ac:dyDescent="0.25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3:33" ht="15.75" customHeight="1" x14ac:dyDescent="0.25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3:33" ht="15.75" customHeight="1" x14ac:dyDescent="0.2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3:33" ht="15.75" customHeight="1" x14ac:dyDescent="0.25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</sheetData>
  <mergeCells count="40">
    <mergeCell ref="AJ18:AP18"/>
    <mergeCell ref="AJ19:AP19"/>
    <mergeCell ref="AJ20:AP20"/>
    <mergeCell ref="AI5:AM5"/>
    <mergeCell ref="AI6:AM6"/>
    <mergeCell ref="AI7:AM7"/>
    <mergeCell ref="AI8:AM8"/>
    <mergeCell ref="AJ17:AP17"/>
    <mergeCell ref="AI10:AM10"/>
    <mergeCell ref="AI3:AM4"/>
    <mergeCell ref="AJ13:AP13"/>
    <mergeCell ref="AJ14:AP14"/>
    <mergeCell ref="AJ15:AP15"/>
    <mergeCell ref="AJ16:AP16"/>
    <mergeCell ref="AI9:AM9"/>
    <mergeCell ref="AI11:AM11"/>
    <mergeCell ref="AI12:AM12"/>
    <mergeCell ref="C43:D43"/>
    <mergeCell ref="C2:J2"/>
    <mergeCell ref="C33:M33"/>
    <mergeCell ref="C39:D39"/>
    <mergeCell ref="C40:D40"/>
    <mergeCell ref="C41:D41"/>
    <mergeCell ref="C42:D42"/>
    <mergeCell ref="B35:T35"/>
    <mergeCell ref="C20:AH20"/>
    <mergeCell ref="B20:B21"/>
    <mergeCell ref="B3:B4"/>
    <mergeCell ref="C3:AH3"/>
    <mergeCell ref="O15:Y19"/>
    <mergeCell ref="C19:J19"/>
    <mergeCell ref="AJ26:AP26"/>
    <mergeCell ref="AJ27:AP27"/>
    <mergeCell ref="AJ28:AP28"/>
    <mergeCell ref="AJ29:AP29"/>
    <mergeCell ref="AJ21:AP21"/>
    <mergeCell ref="AJ22:AP22"/>
    <mergeCell ref="AJ23:AP23"/>
    <mergeCell ref="AJ24:AP24"/>
    <mergeCell ref="AJ25:AP25"/>
  </mergeCells>
  <phoneticPr fontId="57" type="noConversion"/>
  <pageMargins left="0.35" right="0.34" top="0.55000000000000004" bottom="0.75" header="0" footer="0"/>
  <pageSetup paperSize="9" scale="39" orientation="landscape" r:id="rId1"/>
  <ignoredErrors>
    <ignoredError sqref="T1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</sheetPr>
  <dimension ref="A1:AH98"/>
  <sheetViews>
    <sheetView tabSelected="1" zoomScaleNormal="100" workbookViewId="0">
      <selection activeCell="A33" sqref="A33:XFD33"/>
    </sheetView>
  </sheetViews>
  <sheetFormatPr defaultColWidth="14.42578125" defaultRowHeight="15" customHeight="1" x14ac:dyDescent="0.25"/>
  <cols>
    <col min="2" max="2" width="23.140625" customWidth="1"/>
    <col min="3" max="3" width="22.42578125" customWidth="1"/>
    <col min="5" max="5" width="18.42578125" customWidth="1"/>
    <col min="6" max="6" width="19" customWidth="1"/>
    <col min="11" max="11" width="24" customWidth="1"/>
    <col min="12" max="12" width="0.140625" customWidth="1"/>
    <col min="14" max="14" width="11.5703125" customWidth="1"/>
    <col min="16" max="16" width="20.85546875" bestFit="1" customWidth="1"/>
  </cols>
  <sheetData>
    <row r="1" spans="1:15" x14ac:dyDescent="0.25">
      <c r="D1" s="260">
        <v>46082</v>
      </c>
      <c r="E1" s="261"/>
      <c r="F1" s="261"/>
      <c r="G1" s="261"/>
      <c r="H1" s="261"/>
      <c r="I1" s="262"/>
    </row>
    <row r="2" spans="1:15" x14ac:dyDescent="0.25">
      <c r="D2" s="263"/>
      <c r="E2" s="220"/>
      <c r="F2" s="220"/>
      <c r="G2" s="220"/>
      <c r="H2" s="220"/>
      <c r="I2" s="264"/>
    </row>
    <row r="3" spans="1:15" ht="15.75" thickBot="1" x14ac:dyDescent="0.3">
      <c r="D3" s="265"/>
      <c r="E3" s="266"/>
      <c r="F3" s="266"/>
      <c r="G3" s="266"/>
      <c r="H3" s="266"/>
      <c r="I3" s="267"/>
    </row>
    <row r="4" spans="1:15" s="71" customFormat="1" ht="36.75" customHeight="1" thickTop="1" x14ac:dyDescent="0.25">
      <c r="A4" s="75"/>
      <c r="B4" s="169"/>
      <c r="C4" s="169"/>
      <c r="D4" s="169"/>
      <c r="E4" s="169"/>
      <c r="F4" s="169"/>
      <c r="G4" s="169"/>
      <c r="H4" s="75"/>
      <c r="I4" s="169"/>
      <c r="J4" s="74"/>
      <c r="K4" s="74"/>
      <c r="N4"/>
      <c r="O4"/>
    </row>
    <row r="5" spans="1:15" x14ac:dyDescent="0.25">
      <c r="A5" s="77" t="s">
        <v>34</v>
      </c>
      <c r="B5" s="15" t="s">
        <v>31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32</v>
      </c>
      <c r="I5" s="15" t="s">
        <v>33</v>
      </c>
      <c r="J5" s="15">
        <v>0</v>
      </c>
      <c r="K5" s="15" t="s">
        <v>19</v>
      </c>
      <c r="L5" s="16"/>
    </row>
    <row r="6" spans="1:15" x14ac:dyDescent="0.25">
      <c r="A6" s="59">
        <v>0</v>
      </c>
      <c r="B6" s="15">
        <v>0</v>
      </c>
      <c r="C6" s="15">
        <v>200</v>
      </c>
      <c r="D6" s="15">
        <v>1000</v>
      </c>
      <c r="E6" s="15">
        <v>3000</v>
      </c>
      <c r="F6" s="15">
        <v>1200</v>
      </c>
      <c r="G6" s="15">
        <v>840</v>
      </c>
      <c r="H6" s="15">
        <v>2800</v>
      </c>
      <c r="I6" s="15">
        <v>1000</v>
      </c>
      <c r="J6" s="15">
        <v>0</v>
      </c>
      <c r="K6" s="15">
        <f>SUM(A6:J6)</f>
        <v>10040</v>
      </c>
      <c r="L6" s="16"/>
    </row>
    <row r="7" spans="1:15" x14ac:dyDescent="0.25">
      <c r="A7" s="60">
        <f t="shared" ref="A7" si="0">AVERAGE(A6/4)</f>
        <v>0</v>
      </c>
      <c r="B7" s="17">
        <f>AVERAGE(B6/7)</f>
        <v>0</v>
      </c>
      <c r="C7" s="18">
        <f>AVERAGE(C6/7)</f>
        <v>28.571428571428573</v>
      </c>
      <c r="D7" s="18">
        <f t="shared" ref="D7" si="1">AVERAGE(D6/7)</f>
        <v>142.85714285714286</v>
      </c>
      <c r="E7" s="18">
        <f>AVERAGE(E6/7)</f>
        <v>428.57142857142856</v>
      </c>
      <c r="F7" s="18">
        <f>AVERAGE(F6/7)</f>
        <v>171.42857142857142</v>
      </c>
      <c r="G7" s="18">
        <f>AVERAGE(G6/7)</f>
        <v>120</v>
      </c>
      <c r="H7" s="18">
        <f>AVERAGE(H6/4)</f>
        <v>700</v>
      </c>
      <c r="I7" s="18">
        <f>AVERAGE(I6/7)</f>
        <v>142.85714285714286</v>
      </c>
      <c r="J7" s="18">
        <f t="shared" ref="J7" si="2">AVERAGE(J6/4)</f>
        <v>0</v>
      </c>
      <c r="K7" s="19">
        <f>SUM(A7:J7)</f>
        <v>1734.2857142857144</v>
      </c>
      <c r="L7" s="20"/>
    </row>
    <row r="8" spans="1:15" x14ac:dyDescent="0.25">
      <c r="A8" s="61">
        <v>0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/>
    </row>
    <row r="9" spans="1:15" x14ac:dyDescent="0.25">
      <c r="A9" s="76">
        <v>1000</v>
      </c>
      <c r="B9" s="21">
        <v>1500</v>
      </c>
      <c r="C9" s="21">
        <v>150</v>
      </c>
      <c r="D9" s="21">
        <v>1000</v>
      </c>
      <c r="E9" s="21">
        <v>2500</v>
      </c>
      <c r="F9" s="21">
        <v>800</v>
      </c>
      <c r="G9" s="21">
        <v>840</v>
      </c>
      <c r="H9" s="21">
        <v>2800</v>
      </c>
      <c r="I9" s="21">
        <v>1000</v>
      </c>
      <c r="J9" s="21"/>
      <c r="K9" s="21">
        <f>SUM(A9:I9)</f>
        <v>11590</v>
      </c>
      <c r="L9" s="21"/>
    </row>
    <row r="10" spans="1:15" hidden="1" x14ac:dyDescent="0.25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5" ht="15" customHeight="1" x14ac:dyDescent="0.25">
      <c r="B11" s="151"/>
      <c r="C11" s="151"/>
      <c r="D11" s="150" t="s">
        <v>38</v>
      </c>
      <c r="E11" s="72" t="s">
        <v>38</v>
      </c>
      <c r="F11" s="72"/>
      <c r="J11" t="s">
        <v>37</v>
      </c>
      <c r="K11">
        <f>SUM(D9,E9,H9,I9)</f>
        <v>7300</v>
      </c>
    </row>
    <row r="12" spans="1:15" ht="15" customHeight="1" x14ac:dyDescent="0.25">
      <c r="D12" s="71"/>
      <c r="E12" s="71"/>
      <c r="F12" s="71"/>
    </row>
    <row r="13" spans="1:15" x14ac:dyDescent="0.25">
      <c r="B13" s="7"/>
    </row>
    <row r="14" spans="1:15" x14ac:dyDescent="0.25">
      <c r="B14" s="7"/>
      <c r="I14" s="7"/>
    </row>
    <row r="15" spans="1:15" ht="15" customHeight="1" x14ac:dyDescent="0.25">
      <c r="E15" s="73"/>
      <c r="F15" s="73"/>
      <c r="G15" s="73"/>
      <c r="H15" s="73"/>
      <c r="I15" s="73"/>
      <c r="J15" s="73"/>
      <c r="K15" s="73"/>
    </row>
    <row r="16" spans="1:15" x14ac:dyDescent="0.25">
      <c r="E16" s="73"/>
      <c r="F16" s="73"/>
      <c r="G16" s="73"/>
      <c r="H16" s="73"/>
      <c r="I16" s="73"/>
      <c r="J16" s="73"/>
      <c r="K16" s="73"/>
    </row>
    <row r="17" spans="1:15" ht="15" customHeight="1" x14ac:dyDescent="0.25">
      <c r="B17" s="73"/>
      <c r="C17" s="73" t="s">
        <v>56</v>
      </c>
      <c r="D17" s="73"/>
      <c r="E17" s="73"/>
      <c r="F17" s="73"/>
      <c r="G17" s="73"/>
      <c r="H17" s="73"/>
      <c r="I17" s="73"/>
      <c r="J17" s="73"/>
      <c r="K17" s="73"/>
    </row>
    <row r="18" spans="1:15" ht="15" customHeight="1" x14ac:dyDescent="0.25">
      <c r="B18" s="73"/>
      <c r="C18" s="73"/>
      <c r="D18" s="73"/>
      <c r="E18" s="73"/>
      <c r="F18" s="73"/>
      <c r="G18" s="73"/>
      <c r="H18" s="73"/>
      <c r="I18" s="73"/>
      <c r="J18" s="73"/>
      <c r="K18" s="73"/>
    </row>
    <row r="19" spans="1:15" s="73" customFormat="1" ht="15" customHeight="1" x14ac:dyDescent="0.25"/>
    <row r="20" spans="1:15" ht="15" customHeight="1" x14ac:dyDescent="0.25">
      <c r="B20" s="73"/>
      <c r="C20" s="73"/>
      <c r="D20" s="73"/>
      <c r="E20" s="73"/>
      <c r="F20" s="73"/>
      <c r="G20" s="73"/>
      <c r="H20" s="73"/>
      <c r="I20" s="73"/>
      <c r="J20" s="73"/>
      <c r="K20" s="73"/>
    </row>
    <row r="21" spans="1:15" ht="15" customHeight="1" x14ac:dyDescent="0.25">
      <c r="B21" s="73"/>
      <c r="C21" s="73"/>
      <c r="D21" s="73"/>
      <c r="E21" s="73"/>
      <c r="F21" s="73"/>
      <c r="G21" s="73"/>
      <c r="H21" s="73"/>
      <c r="I21" s="73"/>
      <c r="J21" s="73"/>
      <c r="K21" s="73"/>
    </row>
    <row r="22" spans="1:15" ht="15" customHeight="1" x14ac:dyDescent="0.25">
      <c r="B22" s="73"/>
      <c r="C22" s="73"/>
      <c r="D22" s="73"/>
      <c r="E22" s="73"/>
      <c r="F22" s="73"/>
      <c r="G22" s="73"/>
      <c r="H22" s="73"/>
      <c r="I22" s="73"/>
      <c r="J22" s="73"/>
      <c r="K22" s="73"/>
    </row>
    <row r="23" spans="1:15" ht="15" customHeight="1" x14ac:dyDescent="0.25">
      <c r="B23" s="73"/>
      <c r="C23" s="73"/>
      <c r="D23" s="73"/>
      <c r="E23" s="73"/>
      <c r="F23" s="73"/>
      <c r="G23" s="73"/>
      <c r="H23" s="73"/>
      <c r="I23" s="73"/>
      <c r="J23" s="73"/>
      <c r="K23" s="73"/>
    </row>
    <row r="24" spans="1:15" ht="15" customHeight="1" x14ac:dyDescent="0.25">
      <c r="B24" s="73"/>
      <c r="C24" s="73"/>
      <c r="D24" s="73"/>
      <c r="E24" s="73"/>
      <c r="F24" s="73"/>
      <c r="G24" s="73"/>
      <c r="H24" s="73"/>
      <c r="I24" s="73"/>
      <c r="J24" s="73"/>
      <c r="K24" s="73"/>
    </row>
    <row r="28" spans="1:15" ht="15" customHeight="1" x14ac:dyDescent="0.25">
      <c r="B28" s="229"/>
      <c r="C28" s="229"/>
    </row>
    <row r="29" spans="1:15" ht="15" customHeight="1" x14ac:dyDescent="0.25">
      <c r="F29" s="229"/>
      <c r="G29" s="229"/>
    </row>
    <row r="30" spans="1:15" ht="15" customHeight="1" x14ac:dyDescent="0.25">
      <c r="E30" s="276">
        <v>46082</v>
      </c>
      <c r="F30" s="277"/>
      <c r="G30" s="277"/>
      <c r="H30" s="277"/>
      <c r="I30" s="277"/>
      <c r="J30" s="277"/>
    </row>
    <row r="31" spans="1:15" ht="15" customHeight="1" thickBot="1" x14ac:dyDescent="0.3">
      <c r="E31" s="277"/>
      <c r="F31" s="277"/>
      <c r="G31" s="277"/>
      <c r="H31" s="277"/>
      <c r="I31" s="277"/>
      <c r="J31" s="277"/>
    </row>
    <row r="32" spans="1:15" s="71" customFormat="1" ht="16.5" thickTop="1" thickBot="1" x14ac:dyDescent="0.3">
      <c r="A32" s="82" t="s">
        <v>50</v>
      </c>
      <c r="B32" s="83" t="s">
        <v>31</v>
      </c>
      <c r="C32" s="84" t="s">
        <v>14</v>
      </c>
      <c r="D32" s="85" t="s">
        <v>15</v>
      </c>
      <c r="E32" s="86" t="s">
        <v>16</v>
      </c>
      <c r="F32" s="168" t="s">
        <v>74</v>
      </c>
      <c r="G32" s="87" t="s">
        <v>18</v>
      </c>
      <c r="H32" s="88" t="s">
        <v>20</v>
      </c>
      <c r="I32" s="89" t="s">
        <v>21</v>
      </c>
      <c r="J32" s="90" t="s">
        <v>30</v>
      </c>
      <c r="K32" s="91" t="s">
        <v>29</v>
      </c>
      <c r="L32" s="92"/>
      <c r="M32" s="82" t="s">
        <v>26</v>
      </c>
      <c r="N32" s="93" t="s">
        <v>40</v>
      </c>
      <c r="O32" s="94" t="s">
        <v>41</v>
      </c>
    </row>
    <row r="33" spans="1:17" s="102" customFormat="1" ht="16.5" thickTop="1" thickBot="1" x14ac:dyDescent="0.3">
      <c r="A33" s="167" t="s">
        <v>73</v>
      </c>
      <c r="B33" s="100">
        <v>0</v>
      </c>
      <c r="C33" s="100">
        <v>28.571428571428573</v>
      </c>
      <c r="D33" s="100">
        <v>142.85714285714286</v>
      </c>
      <c r="E33" s="100">
        <v>428.57142857142856</v>
      </c>
      <c r="F33" s="100">
        <v>171.42857142857142</v>
      </c>
      <c r="G33" s="100">
        <v>120</v>
      </c>
      <c r="H33" s="100">
        <v>700</v>
      </c>
      <c r="I33" s="100">
        <v>142.85714285714286</v>
      </c>
      <c r="J33" s="80">
        <f t="shared" ref="J33" si="3">SUM(B33:I33)</f>
        <v>1734.2857142857144</v>
      </c>
      <c r="K33" s="100">
        <v>2000</v>
      </c>
      <c r="L33" s="100"/>
      <c r="M33" s="101">
        <f t="shared" ref="M33" si="4">SUM(J33:L33)</f>
        <v>3734.2857142857147</v>
      </c>
      <c r="N33" s="101">
        <v>0</v>
      </c>
      <c r="O33" s="74">
        <f t="shared" ref="O33" si="5">M33-N33</f>
        <v>3734.2857142857147</v>
      </c>
      <c r="P33" s="176"/>
    </row>
    <row r="34" spans="1:17" s="161" customFormat="1" ht="16.5" thickTop="1" thickBot="1" x14ac:dyDescent="0.3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M34" s="103"/>
      <c r="N34" s="103"/>
      <c r="O34" s="103"/>
    </row>
    <row r="35" spans="1:17" ht="15" customHeight="1" thickTop="1" x14ac:dyDescent="0.25">
      <c r="C35" s="229"/>
      <c r="D35" s="229"/>
      <c r="E35" s="229"/>
      <c r="F35" s="229"/>
    </row>
    <row r="39" spans="1:17" ht="15" customHeight="1" thickBot="1" x14ac:dyDescent="0.3"/>
    <row r="40" spans="1:17" s="71" customFormat="1" ht="16.5" thickTop="1" thickBot="1" x14ac:dyDescent="0.3">
      <c r="A40" s="82" t="s">
        <v>50</v>
      </c>
      <c r="B40" s="83" t="s">
        <v>31</v>
      </c>
      <c r="C40" s="84" t="s">
        <v>14</v>
      </c>
      <c r="D40" s="85" t="s">
        <v>15</v>
      </c>
      <c r="E40" s="86" t="s">
        <v>16</v>
      </c>
      <c r="F40" s="142" t="s">
        <v>58</v>
      </c>
      <c r="G40" s="87" t="s">
        <v>18</v>
      </c>
      <c r="H40" s="88" t="s">
        <v>20</v>
      </c>
      <c r="I40" s="89" t="s">
        <v>21</v>
      </c>
      <c r="J40" s="90" t="s">
        <v>30</v>
      </c>
      <c r="K40" s="91" t="s">
        <v>29</v>
      </c>
      <c r="L40" s="92"/>
      <c r="M40" s="82" t="s">
        <v>26</v>
      </c>
      <c r="N40" s="93" t="s">
        <v>40</v>
      </c>
      <c r="O40" s="94" t="s">
        <v>41</v>
      </c>
    </row>
    <row r="41" spans="1:17" s="99" customFormat="1" ht="16.5" thickTop="1" thickBot="1" x14ac:dyDescent="0.3">
      <c r="A41" s="95" t="s">
        <v>39</v>
      </c>
      <c r="B41" s="96">
        <v>0</v>
      </c>
      <c r="C41" s="96">
        <v>28.571428571428573</v>
      </c>
      <c r="D41" s="96">
        <v>142.85714285714286</v>
      </c>
      <c r="E41" s="96">
        <v>428.57142857142856</v>
      </c>
      <c r="F41" s="96">
        <v>171.42857142857142</v>
      </c>
      <c r="G41" s="96">
        <v>120</v>
      </c>
      <c r="H41" s="96">
        <v>700</v>
      </c>
      <c r="I41" s="96">
        <v>142.85714285714286</v>
      </c>
      <c r="J41" s="97">
        <f t="shared" ref="J41:J46" si="6">SUM(B41:I41)</f>
        <v>1734.2857142857144</v>
      </c>
      <c r="K41" s="96">
        <v>2000</v>
      </c>
      <c r="L41" s="96"/>
      <c r="M41" s="98">
        <f t="shared" ref="M41:M47" si="7">SUM(J41:L41)</f>
        <v>3734.2857142857147</v>
      </c>
      <c r="N41" s="98">
        <v>500</v>
      </c>
      <c r="O41" s="74">
        <f>M41-N41</f>
        <v>3234.2857142857147</v>
      </c>
    </row>
    <row r="42" spans="1:17" s="102" customFormat="1" ht="16.5" thickTop="1" thickBot="1" x14ac:dyDescent="0.3">
      <c r="A42" s="167" t="s">
        <v>73</v>
      </c>
      <c r="B42" s="100">
        <v>0</v>
      </c>
      <c r="C42" s="100">
        <v>28.571428571428573</v>
      </c>
      <c r="D42" s="100">
        <v>142.85714285714286</v>
      </c>
      <c r="E42" s="100">
        <v>428.57142857142856</v>
      </c>
      <c r="F42" s="100">
        <v>171.42857142857142</v>
      </c>
      <c r="G42" s="100">
        <v>120</v>
      </c>
      <c r="H42" s="100">
        <v>700</v>
      </c>
      <c r="I42" s="100">
        <v>142.85714285714286</v>
      </c>
      <c r="J42" s="80">
        <f t="shared" si="6"/>
        <v>1734.2857142857144</v>
      </c>
      <c r="K42" s="100">
        <v>2000</v>
      </c>
      <c r="L42" s="100"/>
      <c r="M42" s="101">
        <f t="shared" si="7"/>
        <v>3734.2857142857147</v>
      </c>
      <c r="N42" s="101">
        <v>0</v>
      </c>
      <c r="O42" s="74">
        <f t="shared" ref="O42:O47" si="8">M42-N42</f>
        <v>3734.2857142857147</v>
      </c>
      <c r="P42" s="176"/>
    </row>
    <row r="43" spans="1:17" s="107" customFormat="1" ht="16.5" thickTop="1" thickBot="1" x14ac:dyDescent="0.3">
      <c r="A43" s="159" t="s">
        <v>12</v>
      </c>
      <c r="B43" s="104">
        <v>0</v>
      </c>
      <c r="C43" s="104">
        <v>28.571428571428573</v>
      </c>
      <c r="D43" s="104">
        <v>142.85714285714286</v>
      </c>
      <c r="E43" s="104">
        <v>428.57142857142856</v>
      </c>
      <c r="F43" s="104">
        <v>171.42857142857142</v>
      </c>
      <c r="G43" s="104">
        <v>120</v>
      </c>
      <c r="H43" s="104">
        <v>0</v>
      </c>
      <c r="I43" s="104">
        <v>142.85714285714286</v>
      </c>
      <c r="J43" s="105">
        <f t="shared" si="6"/>
        <v>1034.2857142857142</v>
      </c>
      <c r="K43" s="104">
        <v>3500</v>
      </c>
      <c r="L43" s="104"/>
      <c r="M43" s="106">
        <f t="shared" si="7"/>
        <v>4534.2857142857138</v>
      </c>
      <c r="N43" s="106">
        <v>0</v>
      </c>
      <c r="O43" s="74">
        <f t="shared" si="8"/>
        <v>4534.2857142857138</v>
      </c>
      <c r="P43" s="143"/>
    </row>
    <row r="44" spans="1:17" s="81" customFormat="1" ht="18" customHeight="1" thickTop="1" thickBot="1" x14ac:dyDescent="0.3">
      <c r="A44" s="162" t="s">
        <v>66</v>
      </c>
      <c r="B44" s="108">
        <v>0</v>
      </c>
      <c r="C44" s="108">
        <v>28.571428571428573</v>
      </c>
      <c r="D44" s="108">
        <v>142.85714285714286</v>
      </c>
      <c r="E44" s="108">
        <v>428.57142857142856</v>
      </c>
      <c r="F44" s="108">
        <v>171.42857142857142</v>
      </c>
      <c r="G44" s="108">
        <v>120</v>
      </c>
      <c r="H44" s="108">
        <v>0</v>
      </c>
      <c r="I44" s="108">
        <v>142.85714285714286</v>
      </c>
      <c r="J44" s="108">
        <f t="shared" si="6"/>
        <v>1034.2857142857142</v>
      </c>
      <c r="K44" s="108">
        <v>1500</v>
      </c>
      <c r="L44" s="108"/>
      <c r="M44" s="109">
        <f>SUM(J44:L44)</f>
        <v>2534.2857142857142</v>
      </c>
      <c r="N44" s="109">
        <v>0</v>
      </c>
      <c r="O44" s="74">
        <f t="shared" si="8"/>
        <v>2534.2857142857142</v>
      </c>
      <c r="P44" s="175"/>
      <c r="Q44" s="113" t="s">
        <v>54</v>
      </c>
    </row>
    <row r="45" spans="1:17" s="160" customFormat="1" ht="16.5" thickTop="1" thickBot="1" x14ac:dyDescent="0.3">
      <c r="A45" s="82" t="s">
        <v>62</v>
      </c>
      <c r="B45" s="82">
        <v>0</v>
      </c>
      <c r="C45" s="82">
        <v>28.571428571428573</v>
      </c>
      <c r="D45" s="82">
        <v>142.85714285714286</v>
      </c>
      <c r="E45" s="82">
        <v>428.57142857142856</v>
      </c>
      <c r="F45" s="82">
        <v>171.42857142857142</v>
      </c>
      <c r="G45" s="82">
        <v>120</v>
      </c>
      <c r="H45" s="82">
        <v>700</v>
      </c>
      <c r="I45" s="82">
        <v>142.85714285714286</v>
      </c>
      <c r="J45" s="82">
        <f t="shared" si="6"/>
        <v>1734.2857142857144</v>
      </c>
      <c r="K45" s="82">
        <v>3500</v>
      </c>
      <c r="M45" s="82">
        <f t="shared" ref="M45" si="9">SUM(J45:L45)</f>
        <v>5234.2857142857147</v>
      </c>
      <c r="N45" s="82">
        <v>0</v>
      </c>
      <c r="O45" s="82">
        <f t="shared" ref="O45" si="10">M45-N45</f>
        <v>5234.2857142857147</v>
      </c>
    </row>
    <row r="46" spans="1:17" s="161" customFormat="1" ht="16.5" thickTop="1" thickBot="1" x14ac:dyDescent="0.3">
      <c r="A46" s="103" t="s">
        <v>63</v>
      </c>
      <c r="B46" s="103">
        <v>0</v>
      </c>
      <c r="C46" s="103">
        <v>28.571428571428573</v>
      </c>
      <c r="D46" s="103">
        <v>142.85714285714286</v>
      </c>
      <c r="E46" s="103">
        <v>428.57142857142856</v>
      </c>
      <c r="F46" s="103">
        <v>171.42857142857142</v>
      </c>
      <c r="G46" s="103">
        <v>120</v>
      </c>
      <c r="H46" s="103">
        <v>700</v>
      </c>
      <c r="I46" s="103">
        <v>142.85714285714286</v>
      </c>
      <c r="J46" s="103">
        <f t="shared" si="6"/>
        <v>1734.2857142857144</v>
      </c>
      <c r="K46" s="103">
        <v>3500</v>
      </c>
      <c r="M46" s="103">
        <f t="shared" si="7"/>
        <v>5234.2857142857147</v>
      </c>
      <c r="N46" s="103">
        <v>0</v>
      </c>
      <c r="O46" s="103">
        <f t="shared" si="8"/>
        <v>5234.2857142857147</v>
      </c>
      <c r="P46" s="174"/>
    </row>
    <row r="47" spans="1:17" s="112" customFormat="1" ht="16.5" thickTop="1" thickBot="1" x14ac:dyDescent="0.3">
      <c r="A47" s="111" t="s">
        <v>60</v>
      </c>
      <c r="B47" s="112">
        <v>0</v>
      </c>
      <c r="C47" s="112">
        <v>28.571428571428573</v>
      </c>
      <c r="D47" s="112">
        <v>142.85714285714286</v>
      </c>
      <c r="E47" s="112">
        <v>428.57142857142856</v>
      </c>
      <c r="F47" s="112">
        <v>171.42857142857142</v>
      </c>
      <c r="G47" s="112">
        <v>120</v>
      </c>
      <c r="H47" s="112">
        <v>0</v>
      </c>
      <c r="I47" s="111">
        <v>142.85714285714286</v>
      </c>
      <c r="J47" s="111">
        <f t="shared" ref="J47" si="11">SUM(B47:I47)</f>
        <v>1034.2857142857142</v>
      </c>
      <c r="K47" s="111">
        <v>3500</v>
      </c>
      <c r="L47" s="111"/>
      <c r="M47" s="111">
        <f t="shared" si="7"/>
        <v>4534.2857142857138</v>
      </c>
      <c r="N47" s="111">
        <v>0</v>
      </c>
      <c r="O47" s="111">
        <f t="shared" si="8"/>
        <v>4534.2857142857138</v>
      </c>
      <c r="P47" s="112" t="s">
        <v>90</v>
      </c>
    </row>
    <row r="48" spans="1:17" s="71" customFormat="1" ht="15.75" thickTop="1" x14ac:dyDescent="0.25">
      <c r="A48"/>
      <c r="B48" s="273"/>
      <c r="C48" s="274"/>
      <c r="D48" s="274"/>
      <c r="E48" s="274"/>
      <c r="F48" s="274"/>
      <c r="G48" s="274"/>
      <c r="H48" s="275"/>
      <c r="I48" s="92"/>
      <c r="J48" s="90">
        <f>SUM(J41:J47)</f>
        <v>10040</v>
      </c>
      <c r="K48" s="92">
        <f>SUM(K41:K47)</f>
        <v>19500</v>
      </c>
      <c r="L48" s="92"/>
      <c r="M48" s="110">
        <f>SUM(M41:M47)</f>
        <v>29540</v>
      </c>
      <c r="N48" s="110">
        <f>SUM(N41:N47)</f>
        <v>500</v>
      </c>
      <c r="O48" s="71">
        <f>SUM(O41:O47)</f>
        <v>29040</v>
      </c>
    </row>
    <row r="50" spans="1:34" ht="15" customHeight="1" x14ac:dyDescent="0.25">
      <c r="N50" t="s">
        <v>35</v>
      </c>
    </row>
    <row r="51" spans="1:34" ht="15" customHeight="1" x14ac:dyDescent="0.25">
      <c r="N51">
        <v>0</v>
      </c>
    </row>
    <row r="54" spans="1:34" ht="15" customHeight="1" x14ac:dyDescent="0.25">
      <c r="I54" s="71"/>
    </row>
    <row r="58" spans="1:34" x14ac:dyDescent="0.25">
      <c r="A58" s="24"/>
      <c r="B58" s="24"/>
      <c r="C58" s="24"/>
      <c r="D58" s="24"/>
      <c r="E58" s="24"/>
      <c r="F58" s="24"/>
      <c r="G58" s="24"/>
      <c r="H58" s="24"/>
    </row>
    <row r="59" spans="1:34" x14ac:dyDescent="0.25">
      <c r="A59" s="24"/>
      <c r="B59" s="24"/>
      <c r="C59" s="24"/>
      <c r="D59" s="24"/>
      <c r="E59" s="24"/>
      <c r="F59" s="24"/>
      <c r="G59" s="24"/>
      <c r="H59" s="24"/>
    </row>
    <row r="60" spans="1:34" x14ac:dyDescent="0.25">
      <c r="A60" s="25"/>
      <c r="B60" s="26" t="s">
        <v>22</v>
      </c>
      <c r="C60" s="26" t="s">
        <v>23</v>
      </c>
      <c r="D60" s="26" t="s">
        <v>16</v>
      </c>
      <c r="E60" s="26" t="s">
        <v>24</v>
      </c>
      <c r="F60" s="26" t="s">
        <v>25</v>
      </c>
      <c r="G60" s="26" t="s">
        <v>26</v>
      </c>
      <c r="H60" s="25"/>
      <c r="I60" s="27" t="s">
        <v>27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</row>
    <row r="61" spans="1:34" x14ac:dyDescent="0.25">
      <c r="A61" s="29"/>
      <c r="B61" s="23" t="s">
        <v>7</v>
      </c>
      <c r="C61" s="22">
        <v>1700</v>
      </c>
      <c r="D61" s="30">
        <v>1734</v>
      </c>
      <c r="E61" s="30">
        <v>700</v>
      </c>
      <c r="F61" s="30">
        <v>2434</v>
      </c>
      <c r="G61" s="30">
        <f t="shared" ref="G61:G64" si="12">SUM(C61,F61)</f>
        <v>4134</v>
      </c>
      <c r="H61" s="29"/>
      <c r="I61" s="31"/>
      <c r="J61" s="32"/>
      <c r="K61" s="32"/>
      <c r="L61" s="268"/>
      <c r="M61" s="220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spans="1:34" x14ac:dyDescent="0.25">
      <c r="A62" s="33"/>
      <c r="B62" s="23" t="s">
        <v>13</v>
      </c>
      <c r="C62" s="22">
        <v>3600</v>
      </c>
      <c r="D62" s="30">
        <v>1734</v>
      </c>
      <c r="E62" s="30">
        <v>700</v>
      </c>
      <c r="F62" s="30">
        <v>2434</v>
      </c>
      <c r="G62" s="34">
        <f t="shared" si="12"/>
        <v>6034</v>
      </c>
      <c r="H62" s="33"/>
      <c r="I62" s="31"/>
      <c r="J62" s="35"/>
      <c r="K62" s="35"/>
      <c r="L62" s="35"/>
      <c r="M62" s="269"/>
      <c r="N62" s="220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</row>
    <row r="63" spans="1:34" x14ac:dyDescent="0.25">
      <c r="A63" s="36"/>
      <c r="B63" s="23" t="s">
        <v>8</v>
      </c>
      <c r="C63" s="22">
        <v>3600</v>
      </c>
      <c r="D63" s="30">
        <v>1734</v>
      </c>
      <c r="E63" s="30">
        <v>700</v>
      </c>
      <c r="F63" s="30">
        <v>2434</v>
      </c>
      <c r="G63" s="37">
        <f t="shared" si="12"/>
        <v>6034</v>
      </c>
      <c r="H63" s="36"/>
      <c r="I63" s="31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</row>
    <row r="64" spans="1:34" x14ac:dyDescent="0.25">
      <c r="A64" s="39"/>
      <c r="B64" s="23" t="s">
        <v>28</v>
      </c>
      <c r="C64" s="57">
        <v>6800</v>
      </c>
      <c r="D64" s="30">
        <v>1734</v>
      </c>
      <c r="E64" s="40">
        <v>0</v>
      </c>
      <c r="F64" s="30">
        <v>1734</v>
      </c>
      <c r="G64" s="41">
        <f t="shared" si="12"/>
        <v>8534</v>
      </c>
      <c r="H64" s="39"/>
      <c r="I64" s="3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</row>
    <row r="65" spans="1:34" x14ac:dyDescent="0.25">
      <c r="A65" s="43"/>
      <c r="B65" s="23" t="s">
        <v>47</v>
      </c>
      <c r="C65" s="57">
        <v>1800</v>
      </c>
      <c r="D65" s="30"/>
      <c r="E65" s="44"/>
      <c r="F65" s="44"/>
      <c r="G65" s="44"/>
      <c r="H65" s="43"/>
      <c r="I65" s="31"/>
      <c r="J65" s="45"/>
      <c r="K65" s="45"/>
      <c r="L65" s="45"/>
      <c r="M65" s="270"/>
      <c r="N65" s="220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</row>
    <row r="66" spans="1:34" x14ac:dyDescent="0.25">
      <c r="A66" s="24"/>
      <c r="B66" s="46"/>
      <c r="C66" s="46">
        <f t="shared" ref="C66:E66" si="13">SUM(C61:C65)</f>
        <v>17500</v>
      </c>
      <c r="D66" s="46">
        <f t="shared" si="13"/>
        <v>6936</v>
      </c>
      <c r="E66" s="46">
        <f t="shared" si="13"/>
        <v>2100</v>
      </c>
      <c r="F66" s="46"/>
      <c r="G66" s="46">
        <f>SUM(G61:G65)</f>
        <v>24736</v>
      </c>
      <c r="H66" s="24"/>
    </row>
    <row r="67" spans="1:34" x14ac:dyDescent="0.25">
      <c r="A67" s="24"/>
      <c r="B67" s="24"/>
      <c r="C67" s="24"/>
      <c r="D67" s="24"/>
      <c r="E67" s="24"/>
      <c r="F67" s="24"/>
      <c r="G67" s="24"/>
      <c r="H67" s="24"/>
    </row>
    <row r="68" spans="1:34" x14ac:dyDescent="0.25">
      <c r="A68" s="24"/>
      <c r="B68" s="24"/>
      <c r="C68" s="24"/>
      <c r="D68" s="24"/>
      <c r="E68" s="24"/>
      <c r="F68" s="24"/>
      <c r="G68" s="24"/>
      <c r="H68" s="24"/>
    </row>
    <row r="69" spans="1:34" x14ac:dyDescent="0.25">
      <c r="A69" s="24"/>
      <c r="B69" s="24"/>
      <c r="C69" s="24"/>
      <c r="D69" s="24"/>
      <c r="E69" s="24"/>
      <c r="F69" s="24"/>
      <c r="G69" s="24"/>
      <c r="H69" s="24"/>
    </row>
    <row r="70" spans="1:34" x14ac:dyDescent="0.25">
      <c r="A70" s="24"/>
      <c r="B70" s="24"/>
      <c r="C70" s="24"/>
      <c r="D70" s="24"/>
      <c r="E70" s="24"/>
      <c r="F70" s="24"/>
      <c r="G70" s="24"/>
      <c r="H70" s="24"/>
    </row>
    <row r="71" spans="1:34" x14ac:dyDescent="0.25">
      <c r="A71" s="24"/>
      <c r="B71" s="24"/>
      <c r="C71" s="24"/>
      <c r="D71" s="24"/>
      <c r="E71" s="24"/>
      <c r="F71" s="24"/>
      <c r="G71" s="24"/>
      <c r="H71" s="24"/>
    </row>
    <row r="74" spans="1:34" x14ac:dyDescent="0.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</row>
    <row r="78" spans="1:34" x14ac:dyDescent="0.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</row>
    <row r="81" spans="1:15" x14ac:dyDescent="0.25">
      <c r="A81" s="48"/>
      <c r="B81" s="256" t="s">
        <v>49</v>
      </c>
      <c r="C81" s="257"/>
      <c r="D81" s="257"/>
      <c r="E81" s="257"/>
      <c r="F81" s="257"/>
      <c r="G81" s="49"/>
      <c r="H81" s="49"/>
      <c r="I81" s="49"/>
      <c r="J81" s="49"/>
      <c r="K81" s="49"/>
      <c r="L81" s="49"/>
      <c r="M81" s="49"/>
      <c r="N81" s="49"/>
      <c r="O81" s="50"/>
    </row>
    <row r="82" spans="1:15" x14ac:dyDescent="0.25">
      <c r="A82" s="51"/>
      <c r="O82" s="52"/>
    </row>
    <row r="83" spans="1:15" x14ac:dyDescent="0.25">
      <c r="A83" s="254" t="s">
        <v>36</v>
      </c>
      <c r="B83" s="255"/>
      <c r="C83" s="255"/>
      <c r="D83" s="58">
        <v>45176</v>
      </c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4"/>
    </row>
    <row r="84" spans="1:15" x14ac:dyDescent="0.25">
      <c r="A84" s="271" t="s">
        <v>48</v>
      </c>
      <c r="B84" s="272"/>
      <c r="C84" s="272"/>
      <c r="D84" s="272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4"/>
    </row>
    <row r="85" spans="1:15" x14ac:dyDescent="0.25">
      <c r="A85" s="252"/>
      <c r="B85" s="250"/>
      <c r="C85" s="250"/>
      <c r="D85" s="250"/>
      <c r="E85" s="250"/>
      <c r="F85" s="42"/>
      <c r="G85" s="258"/>
      <c r="H85" s="220"/>
      <c r="I85" s="220"/>
      <c r="J85" s="220"/>
      <c r="K85" s="220"/>
      <c r="L85" s="220"/>
      <c r="M85" s="220"/>
      <c r="N85" s="220"/>
      <c r="O85" s="259"/>
    </row>
    <row r="86" spans="1:15" x14ac:dyDescent="0.25">
      <c r="A86" s="252" t="s">
        <v>51</v>
      </c>
      <c r="B86" s="250"/>
      <c r="C86" s="250"/>
      <c r="D86" s="250"/>
      <c r="E86" s="250"/>
      <c r="O86" s="52"/>
    </row>
    <row r="87" spans="1:15" x14ac:dyDescent="0.25">
      <c r="A87" s="252" t="s">
        <v>51</v>
      </c>
      <c r="B87" s="250"/>
      <c r="C87" s="250"/>
      <c r="D87" s="250"/>
      <c r="E87" s="250"/>
      <c r="O87" s="52"/>
    </row>
    <row r="88" spans="1:15" x14ac:dyDescent="0.25">
      <c r="A88" s="252" t="s">
        <v>52</v>
      </c>
      <c r="B88" s="250"/>
      <c r="C88" s="250"/>
      <c r="D88" s="250"/>
      <c r="E88" s="250"/>
      <c r="O88" s="52"/>
    </row>
    <row r="89" spans="1:15" x14ac:dyDescent="0.25">
      <c r="A89" s="252" t="s">
        <v>53</v>
      </c>
      <c r="B89" s="250"/>
      <c r="C89" s="250"/>
      <c r="D89" s="250"/>
      <c r="E89" s="250"/>
      <c r="O89" s="52"/>
    </row>
    <row r="90" spans="1:15" x14ac:dyDescent="0.25">
      <c r="A90" s="252"/>
      <c r="B90" s="250"/>
      <c r="C90" s="250"/>
      <c r="D90" s="250"/>
      <c r="E90" s="250"/>
      <c r="O90" s="52"/>
    </row>
    <row r="91" spans="1:15" x14ac:dyDescent="0.25">
      <c r="A91" s="252"/>
      <c r="B91" s="250"/>
      <c r="C91" s="250"/>
      <c r="D91" s="250"/>
      <c r="E91" s="250"/>
      <c r="O91" s="52"/>
    </row>
    <row r="92" spans="1:15" x14ac:dyDescent="0.25">
      <c r="A92" s="252" t="s">
        <v>55</v>
      </c>
      <c r="B92" s="250"/>
      <c r="C92" s="250"/>
      <c r="D92" s="250"/>
      <c r="E92" s="250"/>
      <c r="O92" s="52"/>
    </row>
    <row r="93" spans="1:15" x14ac:dyDescent="0.25">
      <c r="A93" s="252"/>
      <c r="B93" s="250"/>
      <c r="C93" s="250"/>
      <c r="D93" s="250"/>
      <c r="E93" s="250"/>
      <c r="O93" s="52"/>
    </row>
    <row r="94" spans="1:15" x14ac:dyDescent="0.25">
      <c r="A94" s="253" t="s">
        <v>61</v>
      </c>
      <c r="B94" s="250"/>
      <c r="C94" s="250"/>
      <c r="D94" s="250"/>
      <c r="E94" s="250"/>
      <c r="O94" s="52"/>
    </row>
    <row r="95" spans="1:15" x14ac:dyDescent="0.25">
      <c r="A95" s="252"/>
      <c r="B95" s="250"/>
      <c r="C95" s="250"/>
      <c r="D95" s="250"/>
      <c r="E95" s="250"/>
      <c r="O95" s="52"/>
    </row>
    <row r="96" spans="1:15" x14ac:dyDescent="0.25">
      <c r="A96" s="249" t="s">
        <v>65</v>
      </c>
      <c r="B96" s="250"/>
      <c r="C96" s="250"/>
      <c r="D96" s="250"/>
      <c r="E96" s="250"/>
      <c r="O96" s="52"/>
    </row>
    <row r="97" spans="1:15" ht="15.75" thickBot="1" x14ac:dyDescent="0.3">
      <c r="A97" s="251" t="s">
        <v>64</v>
      </c>
      <c r="B97" s="250"/>
      <c r="C97" s="250"/>
      <c r="D97" s="250"/>
      <c r="E97" s="250"/>
      <c r="F97" s="55"/>
      <c r="G97" s="55"/>
      <c r="H97" s="55"/>
      <c r="I97" s="55"/>
      <c r="J97" s="55"/>
      <c r="K97" s="55"/>
      <c r="L97" s="55"/>
      <c r="M97" s="55"/>
      <c r="N97" s="55"/>
      <c r="O97" s="56"/>
    </row>
    <row r="98" spans="1:15" ht="15" customHeight="1" thickTop="1" x14ac:dyDescent="0.25"/>
  </sheetData>
  <mergeCells count="27">
    <mergeCell ref="E30:J31"/>
    <mergeCell ref="A83:C83"/>
    <mergeCell ref="B81:F81"/>
    <mergeCell ref="G85:O85"/>
    <mergeCell ref="D1:I3"/>
    <mergeCell ref="L61:M61"/>
    <mergeCell ref="M62:N62"/>
    <mergeCell ref="M65:N65"/>
    <mergeCell ref="F29:G29"/>
    <mergeCell ref="C35:D35"/>
    <mergeCell ref="B28:C28"/>
    <mergeCell ref="E35:F35"/>
    <mergeCell ref="A84:D84"/>
    <mergeCell ref="B48:H48"/>
    <mergeCell ref="A85:E85"/>
    <mergeCell ref="A86:E86"/>
    <mergeCell ref="A87:E87"/>
    <mergeCell ref="A88:E88"/>
    <mergeCell ref="A89:E89"/>
    <mergeCell ref="A95:E95"/>
    <mergeCell ref="A96:E96"/>
    <mergeCell ref="A97:E97"/>
    <mergeCell ref="A90:E90"/>
    <mergeCell ref="A91:E91"/>
    <mergeCell ref="A92:E92"/>
    <mergeCell ref="A93:E93"/>
    <mergeCell ref="A94:E94"/>
  </mergeCells>
  <phoneticPr fontId="39" type="noConversion"/>
  <conditionalFormatting sqref="A5:B6">
    <cfRule type="notContainsBlanks" dxfId="3" priority="1">
      <formula>LEN(TRIM(A5))&gt;0</formula>
    </cfRule>
  </conditionalFormatting>
  <conditionalFormatting sqref="B60:G60 D61:G65">
    <cfRule type="notContainsBlanks" dxfId="2" priority="2">
      <formula>LEN(TRIM(B60))&gt;0</formula>
    </cfRule>
  </conditionalFormatting>
  <conditionalFormatting sqref="C5:K7">
    <cfRule type="notContainsBlanks" dxfId="1" priority="3">
      <formula>LEN(TRIM(C5))&gt;0</formula>
    </cfRule>
  </conditionalFormatting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A95E-EB72-47F7-8F83-CAA58846ED15}">
  <dimension ref="A1:G8"/>
  <sheetViews>
    <sheetView workbookViewId="0">
      <selection activeCell="A6" sqref="A6:XFD6"/>
    </sheetView>
  </sheetViews>
  <sheetFormatPr defaultRowHeight="15" x14ac:dyDescent="0.25"/>
  <cols>
    <col min="2" max="2" width="11.140625" bestFit="1" customWidth="1"/>
    <col min="3" max="3" width="9.28515625" bestFit="1" customWidth="1"/>
    <col min="4" max="4" width="11.140625" bestFit="1" customWidth="1"/>
    <col min="5" max="5" width="10.42578125" bestFit="1" customWidth="1"/>
  </cols>
  <sheetData>
    <row r="1" spans="1:7" x14ac:dyDescent="0.25">
      <c r="B1" s="173" t="s">
        <v>76</v>
      </c>
      <c r="C1" s="173" t="s">
        <v>77</v>
      </c>
      <c r="D1" s="173" t="s">
        <v>78</v>
      </c>
      <c r="E1" s="173" t="s">
        <v>79</v>
      </c>
      <c r="F1" s="173" t="s">
        <v>80</v>
      </c>
    </row>
    <row r="2" spans="1:7" x14ac:dyDescent="0.25">
      <c r="A2" t="s">
        <v>72</v>
      </c>
      <c r="B2" s="170">
        <v>715</v>
      </c>
      <c r="C2" s="170">
        <v>-715</v>
      </c>
      <c r="D2" s="170">
        <v>-33</v>
      </c>
      <c r="E2" s="170"/>
      <c r="F2" s="170">
        <f>SUM(B2:E2)</f>
        <v>-33</v>
      </c>
    </row>
    <row r="3" spans="1:7" x14ac:dyDescent="0.25">
      <c r="A3" t="s">
        <v>67</v>
      </c>
      <c r="B3" s="170">
        <v>0</v>
      </c>
      <c r="C3" s="170">
        <v>0</v>
      </c>
      <c r="D3" s="170">
        <v>0</v>
      </c>
      <c r="E3" s="170"/>
      <c r="F3" s="170">
        <f t="shared" ref="F3:F8" si="0">SUM(B3:E3)</f>
        <v>0</v>
      </c>
    </row>
    <row r="4" spans="1:7" x14ac:dyDescent="0.25">
      <c r="A4" t="s">
        <v>68</v>
      </c>
      <c r="B4" s="170">
        <v>53</v>
      </c>
      <c r="C4" s="170">
        <v>0</v>
      </c>
      <c r="D4" s="170">
        <v>0</v>
      </c>
      <c r="E4" s="170"/>
      <c r="F4" s="170">
        <f t="shared" si="0"/>
        <v>53</v>
      </c>
    </row>
    <row r="5" spans="1:7" x14ac:dyDescent="0.25">
      <c r="A5" t="s">
        <v>69</v>
      </c>
      <c r="B5" s="170">
        <v>764</v>
      </c>
      <c r="C5" s="170">
        <v>-99</v>
      </c>
      <c r="D5" s="170">
        <v>0</v>
      </c>
      <c r="E5" s="170"/>
      <c r="F5" s="170">
        <f t="shared" si="0"/>
        <v>665</v>
      </c>
    </row>
    <row r="6" spans="1:7" x14ac:dyDescent="0.25">
      <c r="A6" t="s">
        <v>70</v>
      </c>
      <c r="B6" s="170">
        <v>-945</v>
      </c>
      <c r="C6" s="170">
        <v>0</v>
      </c>
      <c r="D6" s="170">
        <v>-478</v>
      </c>
      <c r="E6" s="170"/>
      <c r="F6" s="170">
        <f t="shared" si="0"/>
        <v>-1423</v>
      </c>
      <c r="G6" t="s">
        <v>83</v>
      </c>
    </row>
    <row r="7" spans="1:7" x14ac:dyDescent="0.25">
      <c r="A7" t="s">
        <v>71</v>
      </c>
      <c r="B7" s="170">
        <v>-29</v>
      </c>
      <c r="C7" s="170">
        <v>0</v>
      </c>
      <c r="D7" s="170">
        <v>0</v>
      </c>
      <c r="E7" s="170"/>
      <c r="F7" s="170">
        <f t="shared" si="0"/>
        <v>-29</v>
      </c>
    </row>
    <row r="8" spans="1:7" x14ac:dyDescent="0.25">
      <c r="A8" t="s">
        <v>75</v>
      </c>
      <c r="B8" s="170">
        <v>-83</v>
      </c>
      <c r="C8" s="170">
        <v>857</v>
      </c>
      <c r="D8" s="170">
        <v>432</v>
      </c>
      <c r="E8" s="170"/>
      <c r="F8" s="170">
        <f t="shared" si="0"/>
        <v>1206</v>
      </c>
      <c r="G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Report</vt:lpstr>
      <vt:lpstr>Total Meal Number</vt:lpstr>
      <vt:lpstr>Bazar Cost</vt:lpstr>
      <vt:lpstr>house rent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DIdarul Alam</dc:creator>
  <cp:lastModifiedBy>DIdarul Alam</cp:lastModifiedBy>
  <cp:lastPrinted>2025-04-09T13:05:51Z</cp:lastPrinted>
  <dcterms:created xsi:type="dcterms:W3CDTF">2006-09-16T00:00:00Z</dcterms:created>
  <dcterms:modified xsi:type="dcterms:W3CDTF">2026-03-04T18:05:38Z</dcterms:modified>
</cp:coreProperties>
</file>